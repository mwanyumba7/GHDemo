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gam\Desktop\Data Science\Zindua\Gen Data\Excel\"/>
    </mc:Choice>
  </mc:AlternateContent>
  <xr:revisionPtr revIDLastSave="0" documentId="13_ncr:1_{33FB2164-F83F-4566-8ACE-0E56CB97B0EE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Google Monthly Stock Price" sheetId="1" r:id="rId1"/>
    <sheet name="Pasted Movie Data" sheetId="2" r:id="rId2"/>
    <sheet name="Bonus" sheetId="3" r:id="rId3"/>
    <sheet name="Assignment1" sheetId="4" r:id="rId4"/>
    <sheet name="Assignment2" sheetId="5" r:id="rId5"/>
    <sheet name="Assignment3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01" i="6" l="1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B3" i="5"/>
  <c r="B4" i="5"/>
  <c r="B5" i="5"/>
  <c r="B6" i="5"/>
  <c r="B7" i="5"/>
  <c r="B2" i="5"/>
  <c r="H2" i="1"/>
  <c r="C3" i="4"/>
  <c r="C4" i="4"/>
  <c r="C5" i="4"/>
  <c r="C6" i="4"/>
  <c r="C7" i="4"/>
  <c r="C8" i="4"/>
  <c r="C9" i="4"/>
  <c r="C10" i="4"/>
  <c r="C11" i="4"/>
  <c r="C2" i="4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C3" i="3"/>
  <c r="C4" i="3"/>
  <c r="C5" i="3"/>
  <c r="C2" i="3"/>
  <c r="M3" i="2"/>
  <c r="M4" i="2"/>
  <c r="M2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9" i="2"/>
  <c r="L10" i="2"/>
  <c r="L11" i="2"/>
  <c r="L12" i="2"/>
  <c r="L13" i="2"/>
  <c r="L14" i="2"/>
  <c r="L3" i="2"/>
  <c r="L4" i="2"/>
  <c r="L5" i="2"/>
  <c r="L6" i="2"/>
  <c r="L7" i="2"/>
  <c r="L8" i="2"/>
  <c r="L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3" i="2"/>
  <c r="K4" i="2"/>
  <c r="K5" i="2"/>
  <c r="K6" i="2"/>
  <c r="K2" i="2"/>
  <c r="R7" i="2"/>
  <c r="R5" i="2"/>
  <c r="P5" i="2"/>
  <c r="P2" i="2"/>
  <c r="P3" i="2"/>
  <c r="P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R3" i="2"/>
</calcChain>
</file>

<file path=xl/sharedStrings.xml><?xml version="1.0" encoding="utf-8"?>
<sst xmlns="http://schemas.openxmlformats.org/spreadsheetml/2006/main" count="10878" uniqueCount="2682">
  <si>
    <t>Date</t>
  </si>
  <si>
    <t>High</t>
  </si>
  <si>
    <t>Low</t>
  </si>
  <si>
    <t>Close</t>
  </si>
  <si>
    <t>Volume</t>
  </si>
  <si>
    <t>Adj Close</t>
  </si>
  <si>
    <t>Open</t>
  </si>
  <si>
    <t xml:space="preserve">ranking of movie_x000D_
</t>
  </si>
  <si>
    <t xml:space="preserve">movie name_x000D_
</t>
  </si>
  <si>
    <t>Year</t>
  </si>
  <si>
    <t>certificate</t>
  </si>
  <si>
    <t>runtime</t>
  </si>
  <si>
    <t>genre</t>
  </si>
  <si>
    <t>RATING</t>
  </si>
  <si>
    <t>metascore</t>
  </si>
  <si>
    <t xml:space="preserve">Director
</t>
  </si>
  <si>
    <t>votes</t>
  </si>
  <si>
    <t xml:space="preserve">GROSS COLLECTION_x000D_
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</si>
  <si>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</si>
  <si>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</si>
  <si>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</si>
  <si>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</si>
  <si>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</si>
  <si>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</si>
  <si>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</si>
  <si>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</si>
  <si>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</si>
  <si>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</si>
  <si>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</si>
  <si>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</si>
  <si>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</si>
  <si>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</si>
  <si>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</si>
  <si>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</si>
  <si>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</si>
  <si>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</si>
  <si>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</si>
  <si>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</si>
  <si>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</si>
  <si>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</si>
  <si>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</si>
  <si>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</si>
  <si>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</si>
  <si>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</si>
  <si>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</si>
  <si>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</si>
  <si>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</si>
  <si>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</si>
  <si>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</si>
  <si>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</si>
  <si>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</si>
  <si>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</si>
  <si>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</si>
  <si>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</si>
  <si>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</si>
  <si>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</si>
  <si>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</si>
  <si>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</si>
  <si>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</si>
  <si>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</si>
  <si>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</si>
  <si>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</si>
  <si>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</si>
  <si>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</si>
  <si>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</si>
  <si>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</si>
  <si>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</si>
  <si>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</si>
  <si>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</si>
  <si>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</si>
  <si>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</si>
  <si>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</si>
  <si>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</si>
  <si>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</si>
  <si>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</si>
  <si>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</si>
  <si>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</si>
  <si>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</si>
  <si>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</si>
  <si>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</si>
  <si>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</si>
  <si>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</si>
  <si>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</si>
  <si>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</si>
  <si>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</si>
  <si>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</si>
  <si>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</si>
  <si>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</si>
  <si>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</si>
  <si>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</si>
  <si>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</si>
  <si>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</si>
  <si>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</si>
  <si>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</si>
  <si>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</si>
  <si>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</si>
  <si>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</si>
  <si>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</si>
  <si>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</si>
  <si>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</si>
  <si>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</si>
  <si>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</si>
  <si>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</si>
  <si>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</si>
  <si>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</si>
  <si>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</si>
  <si>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</si>
  <si>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</si>
  <si>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</si>
  <si>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</si>
  <si>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</si>
  <si>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</si>
  <si>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</si>
  <si>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</si>
  <si>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</si>
  <si>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</si>
  <si>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</si>
  <si>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</si>
  <si>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</si>
  <si>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</si>
  <si>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</si>
  <si>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</si>
  <si>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</si>
  <si>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</si>
  <si>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</si>
  <si>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</si>
  <si>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</si>
  <si>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</si>
  <si>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</si>
  <si>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</si>
  <si>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</si>
  <si>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</si>
  <si>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</si>
  <si>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</si>
  <si>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</si>
  <si>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</si>
  <si>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</si>
  <si>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</si>
  <si>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</si>
  <si>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</si>
  <si>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</si>
  <si>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</si>
  <si>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</si>
  <si>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</si>
  <si>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</si>
  <si>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</si>
  <si>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</si>
  <si>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</si>
  <si>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</si>
  <si>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</si>
  <si>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</si>
  <si>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</si>
  <si>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</si>
  <si>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</si>
  <si>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</si>
  <si>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</si>
  <si>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</si>
  <si>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</si>
  <si>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</si>
  <si>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</si>
  <si>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</si>
  <si>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</si>
  <si>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</si>
  <si>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</si>
  <si>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</si>
  <si>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</si>
  <si>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</si>
  <si>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</si>
  <si>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</si>
  <si>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</si>
  <si>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</si>
  <si>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</si>
  <si>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</si>
  <si>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</si>
  <si>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</si>
  <si>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</si>
  <si>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</si>
  <si>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</si>
  <si>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</si>
  <si>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</si>
  <si>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</si>
  <si>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</si>
  <si>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</si>
  <si>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</si>
  <si>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</si>
  <si>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</si>
  <si>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</si>
  <si>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</si>
  <si>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</si>
  <si>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</si>
  <si>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</si>
  <si>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</si>
  <si>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</si>
  <si>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</si>
  <si>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</si>
  <si>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</si>
  <si>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</si>
  <si>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</si>
  <si>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</si>
  <si>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</si>
  <si>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</si>
  <si>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</si>
  <si>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</si>
  <si>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</si>
  <si>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</si>
  <si>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</si>
  <si>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</si>
  <si>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</si>
  <si>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</si>
  <si>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</si>
  <si>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</si>
  <si>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</si>
  <si>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</si>
  <si>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</si>
  <si>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</si>
  <si>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</si>
  <si>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</si>
  <si>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</si>
  <si>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</si>
  <si>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</si>
  <si>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</si>
  <si>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</si>
  <si>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</si>
  <si>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</si>
  <si>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</si>
  <si>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</si>
  <si>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</si>
  <si>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</si>
  <si>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</si>
  <si>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</si>
  <si>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</si>
  <si>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</si>
  <si>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</si>
  <si>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</si>
  <si>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</si>
  <si>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</si>
  <si>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</si>
  <si>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</si>
  <si>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</si>
  <si>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</si>
  <si>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</si>
  <si>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</si>
  <si>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</si>
  <si>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</si>
  <si>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</si>
  <si>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</si>
  <si>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</si>
  <si>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</si>
  <si>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</si>
  <si>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</si>
  <si>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</si>
  <si>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</si>
  <si>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</si>
  <si>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</si>
  <si>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</si>
  <si>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</si>
  <si>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</si>
  <si>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</si>
  <si>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</si>
  <si>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</si>
  <si>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</si>
  <si>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</si>
  <si>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</si>
  <si>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</si>
  <si>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</si>
  <si>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</si>
  <si>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</si>
  <si>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</si>
  <si>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</si>
  <si>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</si>
  <si>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</si>
  <si>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</si>
  <si>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</si>
  <si>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</si>
  <si>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</si>
  <si>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</si>
  <si>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</si>
  <si>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</si>
  <si>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</si>
  <si>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</si>
  <si>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</si>
  <si>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</si>
  <si>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</si>
  <si>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</si>
  <si>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</si>
  <si>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</si>
  <si>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</si>
  <si>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</si>
  <si>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</si>
  <si>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</si>
  <si>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</si>
  <si>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</si>
  <si>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</si>
  <si>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</si>
  <si>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</si>
  <si>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</si>
  <si>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</si>
  <si>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</si>
  <si>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</si>
  <si>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</si>
  <si>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</si>
  <si>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</si>
  <si>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</si>
  <si>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</si>
  <si>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</si>
  <si>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</si>
  <si>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</si>
  <si>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</si>
  <si>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</si>
  <si>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</si>
  <si>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</si>
  <si>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</si>
  <si>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</si>
  <si>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</si>
  <si>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</si>
  <si>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</si>
  <si>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</si>
  <si>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</si>
  <si>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</si>
  <si>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</si>
  <si>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</si>
  <si>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</si>
  <si>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</si>
  <si>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</si>
  <si>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</si>
  <si>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</si>
  <si>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</si>
  <si>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</si>
  <si>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</si>
  <si>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</si>
  <si>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</si>
  <si>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</si>
  <si>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</si>
  <si>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</si>
  <si>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</si>
  <si>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</si>
  <si>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</si>
  <si>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</si>
  <si>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</si>
  <si>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</si>
  <si>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</si>
  <si>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</si>
  <si>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</si>
  <si>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</si>
  <si>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</si>
  <si>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</si>
  <si>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</si>
  <si>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</si>
  <si>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</si>
  <si>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</si>
  <si>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</si>
  <si>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</si>
  <si>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</si>
  <si>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</si>
  <si>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</si>
  <si>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</si>
  <si>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</si>
  <si>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</si>
  <si>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</si>
  <si>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</si>
  <si>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</si>
  <si>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</si>
  <si>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</si>
  <si>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</si>
  <si>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</si>
  <si>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</si>
  <si>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</si>
  <si>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</si>
  <si>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</si>
  <si>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</si>
  <si>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</si>
  <si>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</si>
  <si>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</si>
  <si>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</si>
  <si>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</si>
  <si>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</si>
  <si>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</si>
  <si>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</si>
  <si>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</si>
  <si>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</si>
  <si>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</si>
  <si>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</si>
  <si>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</si>
  <si>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</si>
  <si>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</si>
  <si>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</si>
  <si>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</si>
  <si>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</si>
  <si>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</si>
  <si>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</si>
  <si>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</si>
  <si>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</si>
  <si>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</si>
  <si>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</si>
  <si>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</si>
  <si>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</si>
  <si>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</si>
  <si>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</si>
  <si>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</si>
  <si>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</si>
  <si>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</si>
  <si>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</si>
  <si>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</si>
  <si>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</si>
  <si>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</si>
  <si>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</si>
  <si>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</si>
  <si>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</si>
  <si>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</si>
  <si>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</si>
  <si>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</si>
  <si>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</si>
  <si>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</si>
  <si>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</si>
  <si>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</si>
  <si>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</si>
  <si>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</si>
  <si>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</si>
  <si>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</si>
  <si>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</si>
  <si>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</si>
  <si>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</si>
  <si>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</si>
  <si>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</si>
  <si>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</si>
  <si>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</si>
  <si>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</si>
  <si>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</si>
  <si>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</si>
  <si>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</si>
  <si>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</si>
  <si>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</si>
  <si>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</si>
  <si>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</si>
  <si>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</si>
  <si>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</si>
  <si>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</si>
  <si>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</si>
  <si>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</si>
  <si>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</si>
  <si>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</si>
  <si>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</si>
  <si>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</si>
  <si>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</si>
  <si>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</si>
  <si>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</si>
  <si>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</si>
  <si>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</si>
  <si>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</si>
  <si>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</si>
  <si>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</si>
  <si>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</si>
  <si>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</si>
  <si>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</si>
  <si>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</si>
  <si>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</si>
  <si>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</si>
  <si>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</si>
  <si>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</si>
  <si>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</si>
  <si>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</si>
  <si>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</si>
  <si>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</si>
  <si>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</si>
  <si>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</si>
  <si>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</si>
  <si>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</si>
  <si>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</si>
  <si>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</si>
  <si>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</si>
  <si>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</si>
  <si>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</si>
  <si>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</si>
  <si>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</si>
  <si>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</si>
  <si>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</si>
  <si>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</si>
  <si>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</si>
  <si>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</si>
  <si>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</si>
  <si>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</si>
  <si>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</si>
  <si>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</si>
  <si>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</si>
  <si>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</si>
  <si>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</si>
  <si>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</si>
  <si>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</si>
  <si>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</si>
  <si>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</si>
  <si>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</si>
  <si>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</si>
  <si>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</si>
  <si>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</si>
  <si>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</si>
  <si>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</si>
  <si>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</si>
  <si>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</si>
  <si>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</si>
  <si>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</si>
  <si>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</si>
  <si>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</si>
  <si>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</si>
  <si>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</si>
  <si>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</si>
  <si>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</si>
  <si>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</si>
  <si>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</si>
  <si>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</si>
  <si>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</si>
  <si>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</si>
  <si>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</si>
  <si>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</si>
  <si>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</si>
  <si>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</si>
  <si>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</si>
  <si>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</si>
  <si>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</si>
  <si>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</si>
  <si>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</si>
  <si>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</si>
  <si>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</si>
  <si>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</si>
  <si>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</si>
  <si>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</si>
  <si>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</si>
  <si>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</si>
  <si>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</si>
  <si>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</si>
  <si>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</si>
  <si>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</si>
  <si>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</si>
  <si>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</si>
  <si>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</si>
  <si>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</si>
  <si>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</si>
  <si>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</si>
  <si>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</si>
  <si>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</si>
  <si>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</si>
  <si>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</si>
  <si>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</si>
  <si>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</si>
  <si>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</si>
  <si>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</si>
  <si>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</si>
  <si>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</si>
  <si>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</si>
  <si>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</si>
  <si>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</si>
  <si>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</si>
  <si>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</si>
  <si>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</si>
  <si>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</si>
  <si>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</si>
  <si>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</si>
  <si>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</si>
  <si>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</si>
  <si>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</si>
  <si>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</si>
  <si>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</si>
  <si>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</si>
  <si>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</si>
  <si>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</si>
  <si>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</si>
  <si>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</si>
  <si>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</si>
  <si>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</si>
  <si>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</si>
  <si>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</si>
  <si>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</si>
  <si>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</si>
  <si>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</si>
  <si>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</si>
  <si>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</si>
  <si>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</si>
  <si>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</si>
  <si>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</si>
  <si>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</si>
  <si>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</si>
  <si>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</si>
  <si>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</si>
  <si>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</si>
  <si>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</si>
  <si>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</si>
  <si>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</si>
  <si>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</si>
  <si>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</si>
  <si>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</si>
  <si>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</si>
  <si>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</si>
  <si>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</si>
  <si>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</si>
  <si>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</si>
  <si>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</si>
  <si>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</si>
  <si>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</si>
  <si>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</si>
  <si>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</si>
  <si>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</si>
  <si>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</si>
  <si>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</si>
  <si>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</si>
  <si>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</si>
  <si>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</si>
  <si>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</si>
  <si>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</si>
  <si>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</si>
  <si>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</si>
  <si>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</si>
  <si>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</si>
  <si>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</si>
  <si>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</si>
  <si>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</si>
  <si>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</si>
  <si>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</si>
  <si>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</si>
  <si>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</si>
  <si>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</si>
  <si>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</si>
  <si>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</si>
  <si>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</si>
  <si>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</si>
  <si>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</si>
  <si>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</si>
  <si>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</si>
  <si>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</si>
  <si>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</si>
  <si>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</si>
  <si>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</si>
  <si>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</si>
  <si>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</si>
  <si>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</si>
  <si>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</si>
  <si>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</si>
  <si>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</si>
  <si>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</si>
  <si>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</si>
  <si>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</si>
  <si>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</si>
  <si>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</si>
  <si>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</si>
  <si>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</si>
  <si>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</si>
  <si>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</si>
  <si>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</si>
  <si>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</si>
  <si>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</si>
  <si>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</si>
  <si>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</si>
  <si>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</si>
  <si>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</si>
  <si>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</si>
  <si>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</si>
  <si>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</si>
  <si>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</si>
  <si>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</si>
  <si>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</si>
  <si>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</si>
  <si>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</si>
  <si>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</si>
  <si>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</si>
  <si>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</si>
  <si>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</si>
  <si>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</si>
  <si>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</si>
  <si>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</si>
  <si>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</si>
  <si>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</si>
  <si>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</si>
  <si>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</si>
  <si>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</si>
  <si>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</si>
  <si>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</si>
  <si>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</si>
  <si>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</si>
  <si>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</si>
  <si>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</si>
  <si>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</si>
  <si>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</si>
  <si>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</si>
  <si>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</si>
  <si>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</si>
  <si>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</si>
  <si>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</si>
  <si>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</si>
  <si>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</si>
  <si>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</si>
  <si>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</si>
  <si>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</si>
  <si>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</si>
  <si>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</si>
  <si>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</si>
  <si>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</si>
  <si>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</si>
  <si>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</si>
  <si>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</si>
  <si>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</si>
  <si>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</si>
  <si>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</si>
  <si>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</si>
  <si>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</si>
  <si>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</si>
  <si>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</si>
  <si>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</si>
  <si>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</si>
  <si>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</si>
  <si>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</si>
  <si>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</si>
  <si>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</si>
  <si>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</si>
  <si>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</si>
  <si>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</si>
  <si>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</si>
  <si>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</si>
  <si>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</si>
  <si>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</si>
  <si>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</si>
  <si>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</si>
  <si>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</si>
  <si>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</si>
  <si>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</si>
  <si>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</si>
  <si>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</si>
  <si>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</si>
  <si>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</si>
  <si>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</si>
  <si>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</si>
  <si>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</si>
  <si>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</si>
  <si>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</si>
  <si>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</si>
  <si>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</si>
  <si>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</si>
  <si>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</si>
  <si>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</si>
  <si>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</si>
  <si>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</si>
  <si>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</si>
  <si>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</si>
  <si>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</si>
  <si>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</si>
  <si>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</si>
  <si>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</si>
  <si>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</si>
  <si>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</si>
  <si>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</si>
  <si>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</si>
  <si>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</si>
  <si>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</si>
  <si>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</si>
  <si>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</si>
  <si>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</si>
  <si>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</si>
  <si>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</si>
  <si>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</si>
  <si>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</si>
  <si>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</si>
  <si>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</si>
  <si>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</si>
  <si>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</si>
  <si>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</si>
  <si>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</si>
  <si>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</si>
  <si>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</si>
  <si>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</si>
  <si>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</si>
  <si>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</si>
  <si>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</si>
  <si>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</si>
  <si>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</si>
  <si>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</si>
  <si>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</si>
  <si>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</si>
  <si>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</si>
  <si>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</si>
  <si>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</si>
  <si>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</si>
  <si>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</si>
  <si>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</si>
  <si>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</si>
  <si>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</si>
  <si>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</si>
  <si>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</si>
  <si>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</si>
  <si>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</si>
  <si>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</si>
  <si>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</si>
  <si>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</si>
  <si>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</si>
  <si>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</si>
  <si>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</si>
  <si>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</si>
  <si>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</si>
  <si>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</si>
  <si>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</si>
  <si>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</si>
  <si>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</si>
  <si>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</si>
  <si>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</si>
  <si>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</si>
  <si>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</si>
  <si>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</si>
  <si>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</si>
  <si>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</si>
  <si>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</si>
  <si>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</si>
  <si>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</si>
  <si>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</si>
  <si>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</si>
  <si>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</si>
  <si>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</si>
  <si>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</si>
  <si>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</si>
  <si>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</si>
  <si>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</si>
  <si>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</si>
  <si>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</si>
  <si>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</si>
  <si>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</si>
  <si>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</si>
  <si>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</si>
  <si>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</si>
  <si>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</si>
  <si>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</si>
  <si>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</si>
  <si>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</si>
  <si>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</si>
  <si>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</si>
  <si>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</si>
  <si>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</si>
  <si>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</si>
  <si>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</si>
  <si>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</si>
  <si>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</si>
  <si>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</si>
  <si>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</si>
  <si>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</si>
  <si>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</si>
  <si>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</si>
  <si>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</si>
  <si>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</si>
  <si>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</si>
  <si>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</si>
  <si>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</si>
  <si>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</si>
  <si>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</si>
  <si>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</si>
  <si>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</si>
  <si>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</si>
  <si>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</si>
  <si>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</si>
  <si>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</si>
  <si>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</si>
  <si>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</si>
  <si>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</si>
  <si>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</si>
  <si>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</si>
  <si>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</si>
  <si>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</si>
  <si>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</si>
  <si>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</si>
  <si>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</si>
  <si>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</si>
  <si>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</si>
  <si>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</si>
  <si>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</si>
  <si>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</si>
  <si>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</si>
  <si>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</si>
  <si>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</si>
  <si>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</si>
  <si>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</si>
  <si>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</si>
  <si>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</si>
  <si>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</si>
  <si>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</si>
  <si>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</si>
  <si>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</si>
  <si>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</si>
  <si>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</si>
  <si>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</si>
  <si>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</si>
  <si>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</si>
  <si>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</si>
  <si>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</si>
  <si>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</si>
  <si>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</si>
  <si>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</si>
  <si>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</si>
  <si>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</si>
  <si>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</si>
  <si>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</si>
  <si>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</si>
  <si>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</si>
  <si>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</si>
  <si>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</si>
  <si>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</si>
  <si>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</si>
  <si>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</si>
  <si>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</si>
  <si>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</si>
  <si>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</si>
  <si>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</si>
  <si>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</si>
  <si>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</si>
  <si>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</si>
  <si>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</si>
  <si>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</si>
  <si>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</si>
  <si>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</si>
  <si>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</si>
  <si>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</si>
  <si>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</si>
  <si>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</si>
  <si>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</si>
  <si>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</si>
  <si>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</si>
  <si>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</si>
  <si>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</si>
  <si>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</si>
  <si>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</si>
  <si>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</si>
  <si>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</si>
  <si>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</si>
  <si>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</si>
  <si>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</si>
  <si>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</si>
  <si>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</si>
  <si>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</si>
  <si>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</si>
  <si>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</si>
  <si>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</si>
  <si>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</si>
  <si>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</si>
  <si>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</si>
  <si>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</si>
  <si>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</si>
  <si>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</si>
  <si>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</si>
  <si>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</si>
  <si>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</si>
  <si>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</si>
  <si>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</si>
  <si>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</si>
  <si>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</si>
  <si>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</si>
  <si>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</si>
  <si>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</si>
  <si>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</si>
  <si>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</si>
  <si>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</si>
  <si>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</si>
  <si>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</si>
  <si>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</si>
  <si>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</si>
  <si>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</si>
  <si>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</si>
  <si>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</si>
  <si>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</si>
  <si>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</si>
  <si>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</si>
  <si>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</si>
  <si>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</si>
  <si>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</si>
  <si>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</si>
  <si>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</si>
  <si>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</si>
  <si>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</si>
  <si>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</si>
  <si>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</si>
  <si>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</si>
  <si>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</si>
  <si>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</si>
  <si>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</si>
  <si>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</si>
  <si>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</si>
  <si>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</si>
  <si>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</si>
  <si>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</si>
  <si>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</si>
  <si>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</si>
  <si>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</si>
  <si>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</si>
  <si>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</si>
  <si>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</si>
  <si>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</si>
  <si>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</si>
  <si>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</si>
  <si>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</si>
  <si>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</si>
  <si>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</si>
  <si>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</si>
  <si>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</si>
  <si>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</si>
  <si>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</si>
  <si>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</si>
  <si>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</si>
  <si>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</si>
  <si>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</si>
  <si>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</si>
  <si>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</si>
  <si>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</si>
  <si>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</si>
  <si>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</si>
  <si>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</si>
  <si>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</si>
  <si>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</si>
  <si>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</si>
  <si>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</si>
  <si>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</si>
  <si>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</si>
  <si>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</si>
  <si>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</si>
  <si>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</si>
  <si>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</si>
  <si>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</si>
  <si>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</si>
  <si>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</si>
  <si>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</si>
  <si>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</si>
  <si>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</si>
  <si>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</si>
  <si>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</si>
  <si>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</si>
  <si>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</si>
  <si>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</si>
  <si>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</si>
  <si>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</si>
  <si>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</si>
  <si>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</si>
  <si>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</si>
  <si>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</si>
  <si>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</si>
  <si>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</si>
  <si>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</si>
  <si>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</si>
  <si>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</si>
  <si>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</si>
  <si>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</si>
  <si>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</si>
  <si>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</si>
  <si>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</si>
  <si>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</si>
  <si>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</si>
  <si>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</si>
  <si>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</si>
  <si>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</si>
  <si>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</si>
  <si>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</si>
  <si>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</si>
  <si>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</si>
  <si>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</si>
  <si>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</si>
  <si>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</si>
  <si>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</si>
  <si>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</si>
  <si>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</si>
  <si>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</si>
  <si>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</si>
  <si>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</si>
  <si>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</si>
  <si>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</si>
  <si>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</si>
  <si>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</si>
  <si>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</si>
  <si>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</si>
  <si>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</si>
  <si>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</si>
  <si>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</si>
  <si>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</si>
  <si>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</si>
  <si>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</si>
  <si>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</si>
  <si>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</si>
  <si>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</si>
  <si>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</si>
  <si>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</si>
  <si>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</si>
  <si>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</si>
  <si>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</si>
  <si>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</si>
  <si>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</si>
  <si>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</si>
  <si>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</si>
  <si>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</si>
  <si>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</si>
  <si>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</si>
  <si>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</si>
  <si>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</si>
  <si>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</si>
  <si>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</si>
  <si>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</si>
  <si>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</si>
  <si>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</si>
  <si>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</si>
  <si>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</si>
  <si>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</si>
  <si>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</si>
  <si>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</si>
  <si>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</si>
  <si>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</si>
  <si>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</si>
  <si>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</si>
  <si>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</si>
  <si>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</si>
  <si>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</si>
  <si>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</si>
  <si>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</si>
  <si>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</si>
  <si>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</si>
  <si>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</si>
  <si>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</si>
  <si>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</si>
  <si>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</si>
  <si>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</si>
  <si>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</si>
  <si>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</si>
  <si>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</si>
  <si>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</si>
  <si>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</si>
  <si>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</si>
  <si>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</si>
  <si>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</si>
  <si>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</si>
  <si>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</si>
  <si>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</si>
  <si>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</si>
  <si>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</si>
  <si>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</si>
  <si>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</si>
  <si>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</si>
  <si>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</si>
  <si>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</si>
  <si>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</si>
  <si>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</si>
  <si>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</si>
  <si>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</si>
  <si>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</si>
  <si>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</si>
  <si>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</si>
  <si>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</si>
  <si>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</si>
  <si>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</si>
  <si>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</si>
  <si>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</si>
  <si>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</si>
  <si>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</si>
  <si>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</si>
  <si>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</si>
  <si>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</si>
  <si>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</si>
  <si>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</si>
  <si>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</si>
  <si>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</si>
  <si>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</si>
  <si>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</si>
  <si>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</si>
  <si>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</si>
  <si>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</si>
  <si>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</si>
  <si>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</si>
  <si>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</si>
  <si>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</si>
  <si>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</si>
  <si>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</si>
  <si>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</si>
  <si>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</si>
  <si>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</si>
  <si>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</si>
  <si>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</si>
  <si>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</si>
  <si>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</si>
  <si>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</si>
  <si>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</si>
  <si>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</si>
  <si>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</si>
  <si>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</si>
  <si>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</si>
  <si>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</si>
  <si>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</si>
  <si>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</si>
  <si>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</si>
  <si>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</si>
  <si>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</si>
  <si>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</si>
  <si>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</si>
  <si>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</si>
  <si>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</si>
  <si>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</si>
  <si>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</si>
  <si>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</si>
  <si>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</si>
  <si>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</si>
  <si>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</si>
  <si>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</si>
  <si>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</si>
  <si>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</si>
  <si>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</si>
  <si>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</si>
  <si>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</si>
  <si>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</si>
  <si>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</si>
  <si>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</si>
  <si>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</si>
  <si>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</si>
  <si>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</si>
  <si>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</si>
  <si>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</si>
  <si>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</si>
  <si>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</si>
  <si>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</si>
  <si>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</si>
  <si>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</si>
  <si>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</si>
  <si>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</si>
  <si>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</si>
  <si>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</si>
  <si>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</si>
  <si>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</si>
  <si>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</si>
  <si>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</si>
  <si>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</si>
  <si>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</si>
  <si>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</si>
  <si>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</si>
  <si>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</si>
  <si>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</si>
  <si>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</si>
  <si>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</si>
  <si>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</si>
  <si>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</si>
  <si>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</si>
  <si>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</si>
  <si>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</si>
  <si>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</si>
  <si>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</si>
  <si>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</si>
  <si>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</si>
  <si>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</si>
  <si>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</si>
  <si>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</si>
  <si>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</si>
  <si>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</si>
  <si>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</si>
  <si>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</si>
  <si>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</si>
  <si>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</si>
  <si>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</si>
  <si>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</si>
  <si>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</si>
  <si>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</si>
  <si>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</si>
  <si>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</si>
  <si>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</si>
  <si>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</si>
  <si>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</si>
  <si>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</si>
  <si>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</si>
  <si>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</si>
  <si>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</si>
  <si>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</si>
  <si>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</si>
  <si>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</si>
  <si>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</si>
  <si>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</si>
  <si>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</si>
  <si>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</si>
  <si>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</si>
  <si>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</si>
  <si>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</si>
  <si>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</si>
  <si>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</si>
  <si>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</si>
  <si>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</si>
  <si>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</si>
  <si>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</si>
  <si>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</si>
  <si>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</si>
  <si>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</si>
  <si>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</si>
  <si>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</si>
  <si>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</si>
  <si>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</si>
  <si>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</si>
  <si>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</si>
  <si>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</si>
  <si>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</si>
  <si>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</si>
  <si>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</si>
  <si>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</si>
  <si>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</si>
  <si>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</si>
  <si>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</si>
  <si>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</si>
  <si>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</si>
  <si>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</si>
  <si>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</si>
  <si>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</si>
  <si>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</si>
  <si>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</si>
  <si>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</si>
  <si>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</si>
  <si>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</si>
  <si>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</si>
  <si>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</si>
  <si>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</si>
  <si>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</si>
  <si>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</si>
  <si>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</si>
  <si>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</si>
  <si>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</si>
  <si>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</si>
  <si>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</si>
  <si>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</si>
  <si>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</si>
  <si>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</si>
  <si>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</si>
  <si>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</si>
  <si>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</si>
  <si>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</si>
  <si>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</si>
  <si>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</si>
  <si>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</si>
  <si>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</si>
  <si>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</si>
  <si>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</si>
  <si>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</si>
  <si>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</si>
  <si>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</si>
  <si>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</si>
  <si>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</si>
  <si>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</si>
  <si>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</si>
  <si>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</si>
  <si>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</si>
  <si>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</si>
  <si>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</si>
  <si>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</si>
  <si>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</si>
  <si>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</si>
  <si>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</si>
  <si>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</si>
  <si>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</si>
  <si>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</si>
  <si>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</si>
  <si>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</si>
  <si>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</si>
  <si>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</si>
  <si>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</si>
  <si>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</si>
  <si>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</si>
  <si>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</si>
  <si>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</si>
  <si>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</si>
  <si>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</si>
  <si>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</si>
  <si>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</si>
  <si>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</si>
  <si>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</si>
  <si>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</si>
  <si>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</si>
  <si>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</si>
  <si>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</si>
  <si>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</si>
  <si>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</si>
  <si>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</si>
  <si>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</si>
  <si>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</si>
  <si>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</si>
  <si>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</si>
  <si>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</si>
  <si>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</si>
  <si>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</si>
  <si>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</si>
  <si>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</si>
  <si>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</si>
  <si>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</si>
  <si>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</si>
  <si>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</si>
  <si>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</si>
  <si>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</si>
  <si>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</si>
  <si>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</si>
  <si>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</si>
  <si>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</si>
  <si>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</si>
  <si>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</si>
  <si>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</si>
  <si>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</si>
  <si>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</si>
  <si>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</si>
  <si>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</si>
  <si>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</si>
  <si>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</si>
  <si>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</si>
  <si>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</si>
  <si>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</si>
  <si>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</si>
  <si>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</si>
  <si>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</si>
  <si>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</si>
  <si>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</si>
  <si>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</si>
  <si>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</si>
  <si>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</si>
  <si>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</si>
  <si>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</si>
  <si>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</si>
  <si>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</si>
  <si>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</si>
  <si>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</si>
  <si>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</si>
  <si>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</si>
  <si>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</si>
  <si>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</si>
  <si>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</si>
  <si>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</si>
  <si>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</si>
  <si>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</si>
  <si>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</si>
  <si>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</si>
  <si>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</si>
  <si>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</si>
  <si>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</si>
  <si>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</si>
  <si>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</si>
  <si>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</si>
  <si>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</si>
  <si>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</si>
  <si>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</si>
  <si>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</si>
  <si>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</si>
  <si>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</si>
  <si>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</si>
  <si>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</si>
  <si>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</si>
  <si>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</si>
  <si>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</si>
  <si>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</si>
  <si>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</si>
  <si>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</si>
  <si>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</si>
  <si>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</si>
  <si>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</si>
  <si>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</si>
  <si>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</si>
  <si>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</si>
  <si>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</si>
  <si>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</si>
  <si>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</si>
  <si>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</si>
  <si>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</si>
  <si>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</si>
  <si>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</si>
  <si>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</si>
  <si>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</si>
  <si>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</si>
  <si>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</si>
  <si>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</si>
  <si>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</si>
  <si>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</si>
  <si>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</si>
  <si>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</si>
  <si>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</si>
  <si>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</si>
  <si>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</si>
  <si>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</si>
  <si>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</si>
  <si>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</si>
  <si>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</si>
  <si>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</si>
  <si>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</si>
  <si>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</si>
  <si>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</si>
  <si>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</si>
  <si>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</si>
  <si>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</si>
  <si>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</si>
  <si>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</si>
  <si>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</si>
  <si>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</si>
  <si>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</si>
  <si>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</si>
  <si>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</si>
  <si>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</si>
  <si>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</si>
  <si>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</si>
  <si>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</si>
  <si>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</si>
  <si>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</si>
  <si>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</si>
  <si>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</si>
  <si>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</si>
  <si>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</si>
  <si>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</si>
  <si>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</si>
  <si>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</si>
  <si>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</si>
  <si>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</si>
  <si>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</si>
  <si>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</si>
  <si>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</si>
  <si>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</si>
  <si>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</si>
  <si>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</si>
  <si>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</si>
  <si>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</si>
  <si>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</si>
  <si>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</si>
  <si>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</si>
  <si>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</si>
  <si>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</si>
  <si>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</si>
  <si>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</si>
  <si>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</si>
  <si>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</si>
  <si>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</si>
  <si>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</si>
  <si>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</si>
  <si>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</si>
  <si>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</si>
  <si>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</si>
  <si>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</si>
  <si>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</si>
  <si>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</si>
  <si>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</si>
  <si>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</si>
  <si>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</si>
  <si>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</si>
  <si>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</si>
  <si>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</si>
  <si>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</si>
  <si>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</si>
  <si>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</si>
  <si>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</si>
  <si>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</si>
  <si>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</si>
  <si>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</si>
  <si>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</si>
  <si>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</si>
  <si>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</si>
  <si>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</si>
  <si>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</si>
  <si>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</si>
  <si>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</si>
  <si>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</si>
  <si>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</si>
  <si>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</si>
  <si>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</si>
  <si>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</si>
  <si>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</si>
  <si>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</si>
  <si>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</si>
  <si>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</si>
  <si>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</si>
  <si>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</si>
  <si>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</si>
  <si>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</si>
  <si>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</si>
  <si>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</si>
  <si>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</si>
  <si>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</si>
  <si>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</si>
  <si>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</si>
  <si>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</si>
  <si>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</si>
  <si>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</si>
  <si>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</si>
  <si>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</si>
  <si>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</si>
  <si>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</si>
  <si>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</si>
  <si>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</si>
  <si>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</si>
  <si>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</si>
  <si>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</si>
  <si>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</si>
  <si>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</si>
  <si>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</si>
  <si>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</si>
  <si>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</si>
  <si>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</si>
  <si>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</si>
  <si>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</si>
  <si>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</si>
  <si>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</si>
  <si>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</si>
  <si>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</si>
  <si>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</si>
  <si>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</si>
  <si>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</si>
  <si>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</si>
  <si>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</si>
  <si>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</si>
  <si>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</si>
  <si>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</si>
  <si>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</si>
  <si>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</si>
  <si>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</si>
  <si>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</si>
  <si>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</si>
  <si>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</si>
  <si>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</si>
  <si>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</si>
  <si>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</si>
  <si>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</si>
  <si>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</si>
  <si>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</si>
  <si>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</si>
  <si>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</si>
  <si>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</si>
  <si>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</si>
  <si>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</si>
  <si>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</si>
  <si>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</si>
  <si>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</si>
  <si>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</si>
  <si>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</si>
  <si>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</si>
  <si>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</si>
  <si>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</si>
  <si>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</si>
  <si>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</si>
  <si>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</si>
  <si>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</si>
  <si>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</si>
  <si>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</si>
  <si>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</si>
  <si>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</si>
  <si>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</si>
  <si>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</si>
  <si>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</si>
  <si>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</si>
  <si>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</si>
  <si>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</si>
  <si>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</si>
  <si>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</si>
  <si>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</si>
  <si>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</si>
  <si>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</si>
  <si>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</si>
  <si>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</si>
  <si>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</si>
  <si>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</si>
  <si>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</si>
  <si>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</si>
  <si>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</si>
  <si>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</si>
  <si>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</si>
  <si>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</si>
  <si>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</si>
  <si>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</si>
  <si>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</si>
  <si>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</si>
  <si>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</si>
  <si>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</si>
  <si>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</si>
  <si>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</si>
  <si>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</si>
  <si>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</si>
  <si>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</si>
  <si>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</si>
  <si>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</si>
  <si>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</si>
  <si>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</si>
  <si>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</si>
  <si>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</si>
  <si>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</si>
  <si>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</si>
  <si>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</si>
  <si>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</si>
  <si>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</si>
  <si>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</si>
  <si>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</si>
  <si>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</si>
  <si>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</si>
  <si>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</si>
  <si>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</si>
  <si>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</si>
  <si>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</si>
  <si>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</si>
  <si>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</si>
  <si>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</si>
  <si>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</si>
  <si>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</si>
  <si>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</si>
  <si>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</si>
  <si>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</si>
  <si>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</si>
  <si>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</si>
  <si>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</si>
  <si>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</si>
  <si>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</si>
  <si>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</si>
  <si>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</si>
  <si>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</si>
  <si>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</si>
  <si>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</si>
  <si>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</si>
  <si>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</si>
  <si>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</si>
  <si>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</si>
  <si>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</si>
  <si>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</si>
  <si>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</si>
  <si>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</si>
  <si>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</si>
  <si>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</si>
  <si>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</si>
  <si>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</si>
  <si>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</si>
  <si>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</si>
  <si>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</si>
  <si>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</si>
  <si>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</si>
  <si>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</si>
  <si>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</si>
  <si>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</si>
  <si>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</si>
  <si>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</si>
  <si>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</si>
  <si>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</si>
  <si>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</si>
  <si>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</si>
  <si>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</si>
  <si>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</si>
  <si>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</si>
  <si>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</si>
  <si>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</si>
  <si>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</si>
  <si>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</si>
  <si>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</si>
  <si>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</si>
  <si>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</si>
  <si>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</si>
  <si>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</si>
  <si>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</si>
  <si>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</si>
  <si>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</si>
  <si>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</si>
  <si>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</si>
  <si>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</si>
  <si>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</si>
  <si>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</si>
  <si>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</si>
  <si>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</si>
  <si>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</si>
  <si>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</si>
  <si>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</si>
  <si>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</si>
  <si>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</si>
  <si>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</si>
  <si>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</si>
  <si>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</si>
  <si>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</si>
  <si>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</si>
  <si>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</si>
  <si>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</si>
  <si>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</si>
  <si>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</si>
  <si>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</si>
  <si>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</si>
  <si>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</si>
  <si>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</si>
  <si>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</si>
  <si>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</si>
  <si>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</si>
  <si>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</si>
  <si>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</si>
  <si>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</si>
  <si>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</si>
  <si>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</si>
  <si>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</si>
  <si>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</si>
  <si>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</si>
  <si>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</si>
  <si>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</si>
  <si>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</si>
  <si>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</si>
  <si>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</si>
  <si>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</si>
  <si>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</si>
  <si>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</si>
  <si>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</si>
  <si>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</si>
  <si>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</si>
  <si>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</si>
  <si>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</si>
  <si>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</si>
  <si>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</si>
  <si>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</si>
  <si>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</si>
  <si>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</si>
  <si>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</si>
  <si>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</si>
  <si>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</si>
  <si>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</si>
  <si>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</si>
  <si>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</si>
  <si>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</si>
  <si>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</si>
  <si>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</si>
  <si>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</si>
  <si>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</si>
  <si>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</si>
  <si>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</si>
  <si>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</si>
  <si>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</si>
  <si>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</si>
  <si>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</si>
  <si>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</si>
  <si>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</si>
  <si>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</si>
  <si>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</si>
  <si>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</si>
  <si>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</si>
  <si>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</si>
  <si>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</si>
  <si>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</si>
  <si>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</si>
  <si>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</si>
  <si>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</si>
  <si>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</si>
  <si>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</si>
  <si>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</si>
  <si>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</si>
  <si>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</si>
  <si>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</si>
  <si>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</si>
  <si>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</si>
  <si>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</si>
  <si>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</si>
  <si>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</si>
  <si>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</si>
  <si>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</si>
  <si>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</si>
  <si>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</si>
  <si>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</si>
  <si>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</si>
  <si>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</si>
  <si>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</si>
  <si>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</si>
  <si>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</si>
  <si>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</si>
  <si>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</si>
  <si>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</si>
  <si>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</si>
  <si>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</si>
  <si>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</si>
  <si>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</si>
  <si>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</si>
  <si>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</si>
  <si>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</si>
  <si>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</si>
  <si>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</si>
  <si>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</si>
  <si>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</si>
  <si>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</si>
  <si>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</si>
  <si>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</si>
  <si>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</si>
  <si>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</si>
  <si>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</si>
  <si>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</si>
  <si>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</si>
  <si>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</si>
  <si>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</si>
  <si>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</si>
  <si>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</si>
  <si>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</si>
  <si>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</si>
  <si>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</si>
  <si>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</si>
  <si>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</si>
  <si>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</si>
  <si>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</si>
  <si>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</si>
  <si>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</si>
  <si>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</si>
  <si>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</si>
  <si>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</si>
  <si>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</si>
  <si>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</si>
  <si>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</si>
  <si>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</si>
  <si>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</si>
  <si>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</si>
  <si>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</si>
  <si>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</si>
  <si>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</si>
  <si>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</si>
  <si>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</si>
  <si>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</si>
  <si>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</si>
  <si>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</si>
  <si>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</si>
  <si>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</si>
  <si>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</si>
  <si>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</si>
  <si>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</si>
  <si>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</si>
  <si>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</si>
  <si>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</si>
  <si>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</si>
  <si>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</si>
  <si>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</si>
  <si>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</si>
  <si>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</si>
  <si>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</si>
  <si>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</si>
  <si>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</si>
  <si>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</si>
  <si>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</si>
  <si>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</si>
  <si>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</si>
  <si>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</si>
  <si>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</si>
  <si>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</si>
  <si>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</si>
  <si>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</si>
  <si>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</si>
  <si>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</si>
  <si>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</si>
  <si>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</si>
  <si>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</si>
  <si>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</si>
  <si>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</si>
  <si>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</si>
  <si>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</si>
  <si>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</si>
  <si>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</si>
  <si>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</si>
  <si>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</si>
  <si>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</si>
  <si>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</si>
  <si>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</si>
  <si>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</si>
  <si>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</si>
  <si>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</si>
  <si>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</si>
  <si>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</si>
  <si>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</si>
  <si>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</si>
  <si>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</si>
  <si>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</si>
  <si>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</si>
  <si>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</si>
  <si>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</si>
  <si>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</si>
  <si>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</si>
  <si>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</si>
  <si>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</si>
  <si>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</si>
  <si>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</si>
  <si>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</si>
  <si>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</si>
  <si>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</si>
  <si>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</si>
  <si>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</si>
  <si>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</si>
  <si>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</si>
  <si>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</si>
  <si>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</si>
  <si>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</si>
  <si>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</si>
  <si>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</si>
  <si>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</si>
  <si>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</si>
  <si>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</si>
  <si>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</si>
  <si>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</si>
  <si>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</si>
  <si>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</si>
  <si>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</si>
  <si>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</si>
  <si>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</si>
  <si>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</si>
  <si>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</si>
  <si>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</si>
  <si>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</si>
  <si>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</si>
  <si>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</si>
  <si>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</si>
  <si>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</si>
  <si>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</si>
  <si>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</si>
  <si>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</si>
  <si>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</si>
  <si>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</si>
  <si>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</si>
  <si>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</si>
  <si>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</si>
  <si>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</si>
  <si>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</si>
  <si>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</si>
  <si>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</si>
  <si>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</si>
  <si>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</si>
  <si>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</si>
  <si>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</si>
  <si>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</si>
  <si>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</si>
  <si>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</si>
  <si>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</si>
  <si>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</si>
  <si>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</si>
  <si>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</si>
  <si>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</si>
  <si>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</si>
  <si>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</si>
  <si>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</si>
  <si>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</si>
  <si>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</si>
  <si>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</si>
  <si>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</si>
  <si>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</si>
  <si>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</si>
  <si>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</si>
  <si>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</si>
  <si>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</si>
  <si>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</si>
  <si>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</si>
  <si>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</si>
  <si>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</si>
  <si>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</si>
  <si>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</si>
  <si>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</si>
  <si>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</si>
  <si>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</si>
  <si>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</si>
  <si>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</si>
  <si>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</si>
  <si>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</si>
  <si>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</si>
  <si>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</si>
  <si>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</si>
  <si>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</si>
  <si>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</si>
  <si>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</si>
  <si>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</si>
  <si>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</si>
  <si>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</si>
  <si>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</si>
  <si>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</si>
  <si>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</si>
  <si>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</si>
  <si>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</si>
  <si>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</si>
  <si>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</si>
  <si>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</si>
  <si>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</si>
  <si>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</si>
  <si>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</si>
  <si>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</si>
  <si>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</si>
  <si>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</si>
  <si>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</si>
  <si>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</si>
  <si>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</si>
  <si>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</si>
  <si>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</si>
  <si>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</si>
  <si>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</si>
  <si>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</si>
  <si>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</si>
  <si>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</si>
  <si>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</si>
  <si>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</si>
  <si>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</si>
  <si>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</si>
  <si>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</si>
  <si>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</si>
  <si>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</si>
  <si>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</si>
  <si>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</si>
  <si>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</si>
  <si>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</si>
  <si>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</si>
  <si>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</si>
  <si>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</si>
  <si>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</si>
  <si>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</si>
  <si>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</si>
  <si>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</si>
  <si>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</si>
  <si>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</si>
  <si>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</si>
  <si>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</si>
  <si>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</si>
  <si>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</si>
  <si>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</si>
  <si>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</si>
  <si>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</si>
  <si>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</si>
  <si>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</si>
  <si>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</si>
  <si>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</si>
  <si>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</si>
  <si>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</si>
  <si>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</si>
  <si>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</si>
  <si>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</si>
  <si>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</si>
  <si>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</si>
  <si>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</si>
  <si>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</si>
  <si>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</si>
  <si>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</si>
  <si>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</si>
  <si>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</si>
  <si>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</si>
  <si>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</si>
  <si>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</si>
  <si>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</si>
  <si>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</si>
  <si>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</si>
  <si>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</si>
  <si>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</si>
  <si>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</si>
  <si>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</si>
  <si>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</si>
  <si>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</si>
  <si>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</si>
  <si>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</si>
  <si>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</si>
  <si>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</si>
  <si>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</si>
  <si>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</si>
  <si>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</si>
  <si>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</si>
  <si>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</si>
  <si>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</si>
  <si>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</si>
  <si>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</si>
  <si>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</si>
  <si>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</si>
  <si>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</si>
  <si>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</si>
  <si>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</si>
  <si>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</si>
  <si>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</si>
  <si>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</si>
  <si>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</si>
  <si>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</si>
  <si>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</si>
  <si>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</si>
  <si>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</si>
  <si>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</si>
  <si>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</si>
  <si>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</si>
  <si>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</si>
  <si>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</si>
  <si>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</si>
  <si>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</si>
  <si>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</si>
  <si>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</si>
  <si>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</si>
  <si>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</si>
  <si>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</si>
  <si>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</si>
  <si>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</si>
  <si>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</si>
  <si>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</si>
  <si>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</si>
  <si>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</si>
  <si>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</si>
  <si>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</si>
  <si>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</si>
  <si>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</si>
  <si>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</si>
  <si>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</si>
  <si>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</si>
  <si>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</si>
  <si>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</si>
  <si>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</si>
  <si>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</si>
  <si>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</si>
  <si>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</si>
  <si>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</si>
  <si>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</si>
  <si>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</si>
  <si>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</si>
  <si>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</si>
  <si>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</si>
  <si>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</si>
  <si>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</si>
  <si>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</si>
  <si>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</si>
  <si>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</si>
  <si>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</si>
  <si>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</si>
  <si>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</si>
  <si>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</si>
  <si>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</si>
  <si>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</si>
  <si>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</si>
  <si>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</si>
  <si>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</si>
  <si>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</si>
  <si>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</si>
  <si>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</si>
  <si>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</si>
  <si>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</si>
  <si>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</si>
  <si>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</si>
  <si>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</si>
  <si>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</si>
  <si>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</si>
  <si>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</si>
  <si>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</si>
  <si>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</si>
  <si>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</si>
  <si>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</si>
  <si>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</si>
  <si>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</si>
  <si>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</si>
  <si>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</si>
  <si>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</si>
  <si>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</si>
  <si>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</si>
  <si>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</si>
  <si>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</si>
  <si>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</si>
  <si>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</si>
  <si>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</si>
  <si>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</si>
  <si>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</si>
  <si>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</si>
  <si>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</si>
  <si>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</si>
  <si>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</si>
  <si>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</si>
  <si>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</si>
  <si>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</si>
  <si>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</si>
  <si>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</si>
  <si>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</si>
  <si>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</si>
  <si>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</si>
  <si>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</si>
  <si>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</si>
  <si>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</si>
  <si>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</si>
  <si>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</si>
  <si>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</si>
  <si>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</si>
  <si>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</si>
  <si>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</si>
  <si>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</si>
  <si>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</si>
  <si>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</si>
  <si>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</si>
  <si>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</si>
  <si>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</si>
  <si>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</si>
  <si>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</si>
  <si>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</si>
  <si>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</si>
  <si>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</si>
  <si>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</si>
  <si>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</si>
  <si>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</si>
  <si>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</si>
  <si>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</si>
  <si>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</si>
  <si>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</si>
  <si>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</si>
  <si>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</si>
  <si>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</si>
  <si>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</si>
  <si>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</si>
  <si>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</si>
  <si>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</si>
  <si>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</si>
  <si>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</si>
  <si>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</si>
  <si>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</si>
  <si>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</si>
  <si>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</si>
  <si>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</si>
  <si>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</si>
  <si>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</si>
  <si>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</si>
  <si>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</si>
  <si>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</si>
  <si>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</si>
  <si>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</si>
  <si>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</si>
  <si>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</si>
  <si>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</si>
  <si>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</si>
  <si>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</si>
  <si>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</si>
  <si>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</si>
  <si>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</si>
  <si>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</si>
  <si>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</si>
  <si>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</si>
  <si>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</si>
  <si>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</si>
  <si>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</si>
  <si>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</si>
  <si>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</si>
  <si>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</si>
  <si>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</si>
  <si>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</si>
  <si>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</si>
  <si>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</si>
  <si>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</si>
  <si>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</si>
  <si>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</si>
  <si>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</si>
  <si>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</si>
  <si>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</si>
  <si>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</si>
  <si>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</si>
  <si>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</si>
  <si>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</si>
  <si>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</si>
  <si>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</si>
  <si>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</si>
  <si>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</si>
  <si>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</si>
  <si>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</si>
  <si>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</si>
  <si>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</si>
  <si>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</si>
  <si>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</si>
  <si>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</si>
  <si>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</si>
  <si>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</si>
  <si>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</si>
  <si>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</si>
  <si>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</si>
  <si>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</si>
  <si>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</si>
  <si>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</si>
  <si>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</si>
  <si>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</si>
  <si>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</si>
  <si>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</si>
  <si>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</si>
  <si>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</si>
  <si>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</si>
  <si>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</si>
  <si>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</si>
  <si>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</si>
  <si>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</si>
  <si>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</si>
  <si>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</si>
  <si>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</si>
  <si>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</si>
  <si>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</si>
  <si>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</si>
  <si>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</si>
  <si>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</si>
  <si>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</si>
  <si>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</si>
  <si>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</si>
  <si>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</si>
  <si>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</si>
  <si>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</si>
  <si>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</si>
  <si>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</si>
  <si>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</si>
  <si>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</si>
  <si>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</si>
  <si>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</si>
  <si>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</si>
  <si>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</si>
  <si>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</si>
  <si>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</si>
  <si>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</si>
  <si>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</si>
  <si>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</si>
  <si>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</si>
  <si>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</si>
  <si>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</si>
  <si>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</si>
  <si>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</si>
  <si>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</si>
  <si>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</si>
  <si>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</si>
  <si>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</si>
  <si>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</si>
  <si>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</si>
  <si>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</si>
  <si>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</si>
  <si>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</si>
  <si>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</si>
  <si>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</si>
  <si>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</si>
  <si>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</si>
  <si>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</si>
  <si>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</si>
  <si>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</si>
  <si>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</si>
  <si>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</si>
  <si>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</si>
  <si>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</si>
  <si>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</si>
  <si>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</si>
  <si>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</si>
  <si>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</si>
  <si>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</si>
  <si>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</si>
  <si>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</si>
  <si>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</si>
  <si>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</si>
  <si>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</si>
  <si>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</si>
  <si>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</si>
  <si>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</si>
  <si>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</si>
  <si>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</si>
  <si>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</si>
  <si>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</si>
  <si>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</si>
  <si>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</si>
  <si>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</si>
  <si>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</si>
  <si>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</si>
  <si>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</si>
  <si>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</si>
  <si>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</si>
  <si>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</si>
  <si>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</si>
  <si>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</si>
  <si>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</si>
  <si>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</si>
  <si>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</si>
  <si>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</si>
  <si>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</si>
  <si>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</si>
  <si>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</si>
  <si>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</si>
  <si>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</si>
  <si>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</si>
  <si>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</si>
  <si>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</si>
  <si>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</si>
  <si>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</si>
  <si>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</si>
  <si>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</si>
  <si>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</si>
  <si>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</si>
  <si>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</si>
  <si>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</si>
  <si>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</si>
  <si>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</si>
  <si>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</si>
  <si>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</si>
  <si>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</si>
  <si>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</si>
  <si>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</si>
  <si>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</si>
  <si>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</si>
  <si>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</si>
  <si>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</si>
  <si>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</si>
  <si>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</si>
  <si>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</si>
  <si>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</si>
  <si>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</si>
  <si>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</si>
  <si>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</si>
  <si>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</si>
  <si>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</si>
  <si>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</si>
  <si>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</si>
  <si>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</si>
  <si>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</si>
  <si>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</si>
  <si>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</si>
  <si>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</si>
  <si>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</si>
  <si>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</si>
  <si>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</si>
  <si>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</si>
  <si>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</si>
  <si>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</si>
  <si>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</si>
  <si>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</si>
  <si>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</si>
  <si>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</si>
  <si>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</si>
  <si>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</si>
  <si>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</si>
  <si>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</si>
  <si>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</si>
  <si>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</si>
  <si>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</si>
  <si>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</si>
  <si>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</si>
  <si>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</si>
  <si>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</si>
  <si>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</si>
  <si>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</si>
  <si>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</si>
  <si>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</si>
  <si>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</si>
  <si>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</si>
  <si>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</si>
  <si>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</si>
  <si>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</si>
  <si>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</si>
  <si>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</si>
  <si>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</si>
  <si>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</si>
  <si>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</si>
  <si>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</si>
  <si>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</si>
  <si>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</si>
  <si>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</si>
  <si>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</si>
  <si>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</si>
  <si>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</si>
  <si>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</si>
  <si>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</si>
  <si>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</si>
  <si>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</si>
  <si>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</si>
  <si>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</si>
  <si>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</si>
  <si>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</si>
  <si>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</si>
  <si>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</si>
  <si>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</si>
  <si>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</si>
  <si>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</si>
  <si>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</si>
  <si>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</si>
  <si>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</si>
  <si>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</si>
  <si>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</si>
  <si>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</si>
  <si>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</si>
  <si>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</si>
  <si>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</si>
  <si>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</si>
  <si>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</si>
  <si>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</si>
  <si>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</si>
  <si>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</si>
  <si>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</si>
  <si>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</si>
  <si>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</si>
  <si>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</si>
  <si>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</si>
  <si>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</si>
  <si>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</si>
  <si>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</si>
  <si>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</si>
  <si>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</si>
  <si>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</si>
  <si>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</si>
  <si>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</si>
  <si>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</si>
  <si>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</si>
  <si>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</si>
  <si>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</si>
  <si>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</si>
  <si>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</si>
  <si>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</si>
  <si>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</si>
  <si>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</si>
  <si>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</si>
  <si>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</si>
  <si>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</si>
  <si>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</si>
  <si>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</si>
  <si>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</si>
  <si>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</si>
  <si>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</si>
  <si>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</si>
  <si>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</si>
  <si>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</si>
  <si>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</si>
  <si>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</si>
  <si>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</si>
  <si>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</si>
  <si>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</si>
  <si>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</si>
  <si>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</si>
  <si>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</si>
  <si>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</si>
  <si>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</si>
  <si>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</si>
  <si>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</si>
  <si>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</si>
  <si>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</si>
  <si>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</si>
  <si>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</si>
  <si>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</si>
  <si>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</si>
  <si>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</si>
  <si>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</si>
  <si>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</si>
  <si>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</si>
  <si>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</si>
  <si>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</si>
  <si>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</si>
  <si>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</si>
  <si>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</si>
  <si>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</si>
  <si>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</si>
  <si>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</si>
  <si>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</si>
  <si>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</si>
  <si>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</si>
  <si>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</si>
  <si>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</si>
  <si>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</si>
  <si>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</si>
  <si>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</si>
  <si>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</si>
  <si>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</si>
  <si>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</si>
  <si>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</si>
  <si>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</si>
  <si>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</si>
  <si>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</si>
  <si>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</si>
  <si>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</si>
  <si>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</si>
  <si>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</si>
  <si>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</si>
  <si>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</si>
  <si>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</si>
  <si>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</si>
  <si>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</si>
  <si>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</si>
  <si>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</si>
  <si>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</si>
  <si>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</si>
  <si>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</si>
  <si>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</si>
  <si>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</si>
  <si>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</si>
  <si>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</si>
  <si>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</si>
  <si>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</si>
  <si>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</si>
  <si>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</si>
  <si>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</si>
  <si>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</si>
  <si>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</si>
  <si>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</si>
  <si>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</si>
  <si>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</si>
  <si>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</si>
  <si>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</si>
  <si>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</si>
  <si>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</si>
  <si>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</si>
  <si>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</si>
  <si>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</si>
  <si>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</si>
  <si>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</si>
  <si>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</si>
  <si>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</si>
  <si>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Total Number of Movies</t>
  </si>
  <si>
    <t>Movie that have Name as a Number</t>
  </si>
  <si>
    <t>Total Number of Votes</t>
  </si>
  <si>
    <t>Total Mumber of MetaScore</t>
  </si>
  <si>
    <t>My Watch List</t>
  </si>
  <si>
    <t>Watch List 2</t>
  </si>
  <si>
    <t>Logical</t>
  </si>
  <si>
    <t>Employee Name</t>
  </si>
  <si>
    <t>Salary</t>
  </si>
  <si>
    <t>Bonus Amount</t>
  </si>
  <si>
    <t>Bonus</t>
  </si>
  <si>
    <t>Brayan</t>
  </si>
  <si>
    <t>Ruth</t>
  </si>
  <si>
    <t>Bethany</t>
  </si>
  <si>
    <t>Jeniffer</t>
  </si>
  <si>
    <t>Assignment</t>
  </si>
  <si>
    <t>Cell A</t>
  </si>
  <si>
    <t>Cell B</t>
  </si>
  <si>
    <t>SumProduct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</si>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</sst>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>
      <selection activeCell="H2" sqref="H2"/>
    </sheetView>
  </sheetViews>
  <sheetFormatPr defaultRowHeight="15" x14ac:dyDescent="0.25"/>
  <cols>
    <col min="1" max="7" width="14" customWidth="1"/>
    <col min="8" max="8" width="11.140625" bestFit="1" customWidth="1"/>
  </cols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2681</v>
      </c>
    </row>
    <row r="2" spans="1:8" x14ac:dyDescent="0.2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 s="2">
        <v>21.8</v>
      </c>
      <c r="H2" t="e">
        <f>IF(B2&gt;15000, "POSITIVE", "NEGATIVE")
=IF(A2&gt;15000, "POSITIVE", "NEGATIVE")
=IF(A2&gt;15000, "POSITIVE", "NEGATIVE")
=IF(B2&gt;15000, "POSITIVE", "NEGATIVE")
=if</f>
        <v>#NAME?</v>
      </c>
    </row>
    <row r="3" spans="1:8" x14ac:dyDescent="0.2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 s="2">
        <v>22.03</v>
      </c>
    </row>
    <row r="4" spans="1:8" x14ac:dyDescent="0.2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 s="2">
        <v>22.22</v>
      </c>
    </row>
    <row r="5" spans="1:8" x14ac:dyDescent="0.2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 s="2">
        <v>21.19</v>
      </c>
    </row>
    <row r="6" spans="1:8" x14ac:dyDescent="0.2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 s="2">
        <v>21.92</v>
      </c>
    </row>
    <row r="7" spans="1:8" x14ac:dyDescent="0.2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 s="2">
        <v>25.79</v>
      </c>
    </row>
    <row r="8" spans="1:8" x14ac:dyDescent="0.2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 s="2">
        <v>26.52</v>
      </c>
    </row>
    <row r="9" spans="1:8" x14ac:dyDescent="0.2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 s="2">
        <v>28.05</v>
      </c>
    </row>
    <row r="10" spans="1:8" x14ac:dyDescent="0.2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 s="2">
        <v>29.55</v>
      </c>
    </row>
    <row r="11" spans="1:8" x14ac:dyDescent="0.2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 s="2">
        <v>30.42</v>
      </c>
    </row>
    <row r="12" spans="1:8" x14ac:dyDescent="0.2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 s="2">
        <v>27.89</v>
      </c>
    </row>
    <row r="13" spans="1:8" x14ac:dyDescent="0.2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 s="2">
        <v>26.74</v>
      </c>
    </row>
    <row r="14" spans="1:8" x14ac:dyDescent="0.2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 s="2">
        <v>28.58</v>
      </c>
    </row>
    <row r="15" spans="1:8" x14ac:dyDescent="0.2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 s="2">
        <v>29.23</v>
      </c>
    </row>
    <row r="16" spans="1:8" x14ac:dyDescent="0.2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 s="2">
        <v>28.98</v>
      </c>
    </row>
    <row r="17" spans="1:7" x14ac:dyDescent="0.2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 s="2">
        <v>29.12</v>
      </c>
    </row>
    <row r="18" spans="1:7" x14ac:dyDescent="0.2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 s="2">
        <v>29.42</v>
      </c>
    </row>
    <row r="19" spans="1:7" x14ac:dyDescent="0.2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 s="2">
        <v>28.39</v>
      </c>
    </row>
    <row r="20" spans="1:7" x14ac:dyDescent="0.2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 s="2">
        <v>27.45</v>
      </c>
    </row>
    <row r="21" spans="1:7" x14ac:dyDescent="0.2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 s="2">
        <v>26.53</v>
      </c>
    </row>
    <row r="22" spans="1:7" x14ac:dyDescent="0.2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 s="2">
        <v>26.88</v>
      </c>
    </row>
    <row r="23" spans="1:7" x14ac:dyDescent="0.2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 s="2">
        <v>28.13</v>
      </c>
    </row>
    <row r="24" spans="1:7" x14ac:dyDescent="0.2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 s="2">
        <v>27.74</v>
      </c>
    </row>
    <row r="25" spans="1:7" x14ac:dyDescent="0.2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 s="2">
        <v>27.44</v>
      </c>
    </row>
    <row r="26" spans="1:7" x14ac:dyDescent="0.2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 s="2">
        <v>27.27</v>
      </c>
    </row>
    <row r="27" spans="1:7" x14ac:dyDescent="0.2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 s="2">
        <v>27</v>
      </c>
    </row>
    <row r="28" spans="1:7" x14ac:dyDescent="0.2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 s="2">
        <v>32.880000000000003</v>
      </c>
    </row>
    <row r="29" spans="1:7" x14ac:dyDescent="0.2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 s="2">
        <v>32.39</v>
      </c>
    </row>
    <row r="30" spans="1:7" x14ac:dyDescent="0.2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 s="2">
        <v>31.92</v>
      </c>
    </row>
    <row r="31" spans="1:7" x14ac:dyDescent="0.2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 s="2">
        <v>36.869999999999997</v>
      </c>
    </row>
    <row r="32" spans="1:7" x14ac:dyDescent="0.2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 s="2">
        <v>38.14</v>
      </c>
    </row>
    <row r="33" spans="1:7" x14ac:dyDescent="0.2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 s="2">
        <v>38.9</v>
      </c>
    </row>
    <row r="34" spans="1:7" x14ac:dyDescent="0.2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 s="2">
        <v>38.07</v>
      </c>
    </row>
    <row r="35" spans="1:7" x14ac:dyDescent="0.2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 s="2">
        <v>35.86</v>
      </c>
    </row>
    <row r="36" spans="1:7" x14ac:dyDescent="0.2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 s="2">
        <v>38.15</v>
      </c>
    </row>
    <row r="37" spans="1:7" x14ac:dyDescent="0.2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 s="2">
        <v>35.39</v>
      </c>
    </row>
    <row r="38" spans="1:7" x14ac:dyDescent="0.2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 s="2">
        <v>37.44</v>
      </c>
    </row>
    <row r="39" spans="1:7" x14ac:dyDescent="0.2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 s="2">
        <v>35.18</v>
      </c>
    </row>
    <row r="40" spans="1:7" x14ac:dyDescent="0.2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 s="2">
        <v>39.57</v>
      </c>
    </row>
    <row r="41" spans="1:7" x14ac:dyDescent="0.2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 s="2">
        <v>39.49</v>
      </c>
    </row>
    <row r="42" spans="1:7" x14ac:dyDescent="0.2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 s="2">
        <v>40.200000000000003</v>
      </c>
    </row>
    <row r="43" spans="1:7" x14ac:dyDescent="0.2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 s="2">
        <v>40.49</v>
      </c>
    </row>
    <row r="44" spans="1:7" x14ac:dyDescent="0.2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 s="2">
        <v>38.79</v>
      </c>
    </row>
    <row r="45" spans="1:7" x14ac:dyDescent="0.2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 s="2">
        <v>39.619999999999997</v>
      </c>
    </row>
    <row r="46" spans="1:7" x14ac:dyDescent="0.2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 s="2">
        <v>41.01</v>
      </c>
    </row>
    <row r="47" spans="1:7" x14ac:dyDescent="0.2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 s="2">
        <v>42.25</v>
      </c>
    </row>
    <row r="48" spans="1:7" x14ac:dyDescent="0.2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 s="2">
        <v>42.39</v>
      </c>
    </row>
    <row r="49" spans="1:7" x14ac:dyDescent="0.2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 s="2">
        <v>46.23</v>
      </c>
    </row>
    <row r="50" spans="1:7" x14ac:dyDescent="0.2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 s="2">
        <v>49.35</v>
      </c>
    </row>
    <row r="51" spans="1:7" x14ac:dyDescent="0.2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 s="2">
        <v>46.48</v>
      </c>
    </row>
    <row r="52" spans="1:7" x14ac:dyDescent="0.2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 s="2">
        <v>47.28</v>
      </c>
    </row>
    <row r="53" spans="1:7" x14ac:dyDescent="0.2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 s="2">
        <v>47.76</v>
      </c>
    </row>
    <row r="54" spans="1:7" x14ac:dyDescent="0.2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 s="2">
        <v>48.69</v>
      </c>
    </row>
    <row r="55" spans="1:7" x14ac:dyDescent="0.2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 s="2">
        <v>51.65</v>
      </c>
    </row>
    <row r="56" spans="1:7" x14ac:dyDescent="0.2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 s="2">
        <v>51.81</v>
      </c>
    </row>
    <row r="57" spans="1:7" x14ac:dyDescent="0.2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 s="2">
        <v>52.67</v>
      </c>
    </row>
    <row r="58" spans="1:7" x14ac:dyDescent="0.2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 s="2">
        <v>59.11</v>
      </c>
    </row>
    <row r="59" spans="1:7" x14ac:dyDescent="0.2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 s="2">
        <v>55.2</v>
      </c>
    </row>
    <row r="60" spans="1:7" x14ac:dyDescent="0.2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 s="2">
        <v>51.86</v>
      </c>
    </row>
    <row r="61" spans="1:7" x14ac:dyDescent="0.2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 s="2">
        <v>50.93</v>
      </c>
    </row>
    <row r="62" spans="1:7" x14ac:dyDescent="0.2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 s="2">
        <v>55</v>
      </c>
    </row>
    <row r="63" spans="1:7" x14ac:dyDescent="0.2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 s="2">
        <v>56.46</v>
      </c>
    </row>
    <row r="64" spans="1:7" x14ac:dyDescent="0.2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 s="2">
        <v>61.36</v>
      </c>
    </row>
    <row r="65" spans="1:7" x14ac:dyDescent="0.2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 s="2">
        <v>61.59</v>
      </c>
    </row>
    <row r="66" spans="1:7" x14ac:dyDescent="0.2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 s="2">
        <v>60.35</v>
      </c>
    </row>
    <row r="67" spans="1:7" x14ac:dyDescent="0.2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 s="2">
        <v>54.53</v>
      </c>
    </row>
    <row r="68" spans="1:7" x14ac:dyDescent="0.2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 s="2">
        <v>55.48</v>
      </c>
    </row>
    <row r="69" spans="1:7" x14ac:dyDescent="0.2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 s="2">
        <v>52.25</v>
      </c>
    </row>
    <row r="70" spans="1:7" x14ac:dyDescent="0.2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 s="2">
        <v>56.29</v>
      </c>
    </row>
    <row r="71" spans="1:7" x14ac:dyDescent="0.2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 s="2">
        <v>56.33</v>
      </c>
    </row>
    <row r="72" spans="1:7" x14ac:dyDescent="0.2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 s="2">
        <v>58.84</v>
      </c>
    </row>
    <row r="73" spans="1:7" x14ac:dyDescent="0.2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 s="2">
        <v>59.95</v>
      </c>
    </row>
    <row r="74" spans="1:7" x14ac:dyDescent="0.2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 s="2">
        <v>55.33</v>
      </c>
    </row>
    <row r="75" spans="1:7" x14ac:dyDescent="0.2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 s="2">
        <v>54.14</v>
      </c>
    </row>
    <row r="76" spans="1:7" x14ac:dyDescent="0.2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 s="2">
        <v>60.91</v>
      </c>
    </row>
    <row r="77" spans="1:7" x14ac:dyDescent="0.2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 s="2">
        <v>59.53</v>
      </c>
    </row>
    <row r="78" spans="1:7" x14ac:dyDescent="0.2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 s="2">
        <v>61.06</v>
      </c>
    </row>
    <row r="79" spans="1:7" x14ac:dyDescent="0.2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 s="2">
        <v>62.94</v>
      </c>
    </row>
    <row r="80" spans="1:7" x14ac:dyDescent="0.2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 s="2">
        <v>65.2</v>
      </c>
    </row>
    <row r="81" spans="1:7" x14ac:dyDescent="0.2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 s="2">
        <v>66.97</v>
      </c>
    </row>
    <row r="82" spans="1:7" x14ac:dyDescent="0.2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 s="2">
        <v>71.64</v>
      </c>
    </row>
    <row r="83" spans="1:7" x14ac:dyDescent="0.2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 s="2">
        <v>66.959999999999994</v>
      </c>
    </row>
    <row r="84" spans="1:7" x14ac:dyDescent="0.2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 s="2">
        <v>58.1</v>
      </c>
    </row>
    <row r="85" spans="1:7" x14ac:dyDescent="0.2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 s="2">
        <v>67.33</v>
      </c>
    </row>
    <row r="86" spans="1:7" x14ac:dyDescent="0.2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 s="2">
        <v>71.680000000000007</v>
      </c>
    </row>
    <row r="87" spans="1:7" x14ac:dyDescent="0.2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 s="2">
        <v>70.900000000000006</v>
      </c>
    </row>
    <row r="88" spans="1:7" x14ac:dyDescent="0.2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 s="2">
        <v>74.400000000000006</v>
      </c>
    </row>
    <row r="89" spans="1:7" x14ac:dyDescent="0.2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 s="2">
        <v>81.48</v>
      </c>
    </row>
    <row r="90" spans="1:7" x14ac:dyDescent="0.2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 s="2">
        <v>73.28</v>
      </c>
    </row>
    <row r="91" spans="1:7" x14ac:dyDescent="0.2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 s="2">
        <v>80.81</v>
      </c>
    </row>
    <row r="92" spans="1:7" x14ac:dyDescent="0.2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 s="2">
        <v>87.72</v>
      </c>
    </row>
    <row r="93" spans="1:7" x14ac:dyDescent="0.2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 s="2">
        <v>87.63</v>
      </c>
    </row>
    <row r="94" spans="1:7" x14ac:dyDescent="0.2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 s="2">
        <v>91.37</v>
      </c>
    </row>
    <row r="95" spans="1:7" x14ac:dyDescent="0.2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 s="2">
        <v>101.1</v>
      </c>
    </row>
    <row r="96" spans="1:7" x14ac:dyDescent="0.2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 s="2">
        <v>103.13</v>
      </c>
    </row>
    <row r="97" spans="1:7" x14ac:dyDescent="0.2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 s="2">
        <v>117.68</v>
      </c>
    </row>
    <row r="98" spans="1:7" x14ac:dyDescent="0.2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 s="2">
        <v>117.84</v>
      </c>
    </row>
    <row r="99" spans="1:7" x14ac:dyDescent="0.2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 s="2">
        <v>122.09</v>
      </c>
    </row>
    <row r="100" spans="1:7" x14ac:dyDescent="0.2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 s="2">
        <v>134.72999999999999</v>
      </c>
    </row>
    <row r="101" spans="1:7" x14ac:dyDescent="0.2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 s="2">
        <v>144.69999999999999</v>
      </c>
    </row>
    <row r="102" spans="1:7" x14ac:dyDescent="0.2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 s="2">
        <v>133.68</v>
      </c>
    </row>
    <row r="103" spans="1:7" x14ac:dyDescent="0.2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 s="2">
        <v>148.05000000000001</v>
      </c>
    </row>
    <row r="104" spans="1:7" x14ac:dyDescent="0.2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 s="2">
        <v>141.9</v>
      </c>
    </row>
    <row r="105" spans="1:7" x14ac:dyDescent="0.2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 s="2">
        <v>144.85</v>
      </c>
    </row>
    <row r="106" spans="1:7" x14ac:dyDescent="0.2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 s="2">
        <v>135.30000000000001</v>
      </c>
    </row>
    <row r="107" spans="1:7" x14ac:dyDescent="0.2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 s="2">
        <v>135.06</v>
      </c>
    </row>
    <row r="108" spans="1:7" x14ac:dyDescent="0.2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 s="2">
        <v>139.07</v>
      </c>
    </row>
    <row r="109" spans="1:7" x14ac:dyDescent="0.2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 s="2">
        <v>114.11</v>
      </c>
    </row>
    <row r="110" spans="1:7" x14ac:dyDescent="0.2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 s="2">
        <v>113.76</v>
      </c>
    </row>
    <row r="111" spans="1:7" x14ac:dyDescent="0.2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 s="2">
        <v>108.96</v>
      </c>
    </row>
    <row r="112" spans="1:7" x14ac:dyDescent="0.2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 s="2">
        <v>116.32</v>
      </c>
    </row>
    <row r="113" spans="1:7" x14ac:dyDescent="0.2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 s="2">
        <v>108.22</v>
      </c>
    </row>
    <row r="114" spans="1:7" x14ac:dyDescent="0.2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 s="2">
        <v>95.65</v>
      </c>
    </row>
    <row r="115" spans="1:7" x14ac:dyDescent="0.2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 s="2">
        <v>94.51</v>
      </c>
    </row>
    <row r="116" spans="1:7" x14ac:dyDescent="0.2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 s="2">
        <v>100.99</v>
      </c>
    </row>
    <row r="117" spans="1:7" x14ac:dyDescent="0.2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 s="2">
        <v>88.23</v>
      </c>
    </row>
    <row r="118" spans="1:7" x14ac:dyDescent="0.2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 s="2">
        <v>98.84</v>
      </c>
    </row>
    <row r="119" spans="1:7" x14ac:dyDescent="0.2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 s="2">
        <v>90.06</v>
      </c>
    </row>
    <row r="120" spans="1:7" x14ac:dyDescent="0.2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 s="2">
        <v>103.73</v>
      </c>
    </row>
    <row r="121" spans="1:7" x14ac:dyDescent="0.2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 s="2">
        <v>108.87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C0B8-87C6-443C-9048-D8016C83268C}">
  <dimension ref="A1:R1001"/>
  <sheetViews>
    <sheetView topLeftCell="G1" workbookViewId="0">
      <selection activeCell="G1" sqref="A1:XFD1048576"/>
    </sheetView>
  </sheetViews>
  <sheetFormatPr defaultColWidth="12.5703125" defaultRowHeight="15" x14ac:dyDescent="0.25"/>
  <cols>
    <col min="1" max="1" width="17.28515625" bestFit="1" customWidth="1"/>
    <col min="2" max="2" width="64.85546875" bestFit="1" customWidth="1"/>
    <col min="3" max="4" width="10" bestFit="1" customWidth="1"/>
    <col min="5" max="5" width="8.140625" bestFit="1" customWidth="1"/>
    <col min="6" max="6" width="29.7109375" bestFit="1" customWidth="1"/>
    <col min="7" max="7" width="7.7109375" bestFit="1" customWidth="1"/>
    <col min="8" max="8" width="10.28515625" bestFit="1" customWidth="1"/>
    <col min="9" max="9" width="32.28515625" bestFit="1" customWidth="1"/>
    <col min="10" max="10" width="9.140625" bestFit="1" customWidth="1"/>
    <col min="11" max="11" width="12.7109375" bestFit="1" customWidth="1"/>
    <col min="12" max="14" width="12.7109375" customWidth="1"/>
    <col min="15" max="15" width="19.5703125" bestFit="1" customWidth="1"/>
    <col min="16" max="16" width="33.140625" bestFit="1" customWidth="1"/>
    <col min="17" max="17" width="26.140625" bestFit="1" customWidth="1"/>
  </cols>
  <sheetData>
    <row r="1" spans="1:1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2666</v>
      </c>
      <c r="L1" t="s">
        <v>2667</v>
      </c>
      <c r="M1" t="s">
        <v>2668</v>
      </c>
      <c r="N1" t="s">
        <v>2677</v>
      </c>
      <c r="O1" t="s">
        <v>17</v>
      </c>
      <c r="P1" t="s">
        <v>2663</v>
      </c>
    </row>
    <row r="2" spans="1:18" x14ac:dyDescent="0.25">
      <c r="A2">
        <v>1</v>
      </c>
      <c r="B2" t="s">
        <v>18</v>
      </c>
      <c r="C2">
        <v>-1994</v>
      </c>
      <c r="D2">
        <v>15</v>
      </c>
      <c r="E2" t="s">
        <v>19</v>
      </c>
      <c r="F2" t="s">
        <v>20</v>
      </c>
      <c r="G2">
        <v>9.3000000000000007</v>
      </c>
      <c r="H2">
        <v>81</v>
      </c>
      <c r="I2" t="s">
        <v>21</v>
      </c>
      <c r="J2" s="3">
        <v>2603314</v>
      </c>
      <c r="K2" s="3" t="str">
        <f>IF(G2&lt;7.9, "Don't Watch", IF(G2&gt;8, "Must Watch", "Maybe"))</f>
        <v>Must Watch</v>
      </c>
      <c r="L2" s="3" t="str">
        <f>IF(G2=9,"Must Watch",IF(G2=8,"Maybe","Don't Watch"))</f>
        <v>Don't Watch</v>
      </c>
      <c r="M2" s="3" t="str">
        <f>IF(AND(F2="Drama",I2="Christopher Nolan"), "Watch", "Don't Watch")</f>
        <v>Don't Watch</v>
      </c>
      <c r="N2" s="3" t="str">
        <f>IF(I2="Billy Wilder", "Must Watch", IF(I2="John Ford", "Watch", "Maybe"))</f>
        <v>Maybe</v>
      </c>
      <c r="O2" t="s">
        <v>22</v>
      </c>
      <c r="P2" t="b">
        <f t="shared" ref="P2:P33" si="0">ISNUMBER(B:B)</f>
        <v>0</v>
      </c>
    </row>
    <row r="3" spans="1:18" x14ac:dyDescent="0.25">
      <c r="A3">
        <v>2</v>
      </c>
      <c r="B3" t="s">
        <v>23</v>
      </c>
      <c r="C3">
        <v>-1972</v>
      </c>
      <c r="D3" t="s">
        <v>24</v>
      </c>
      <c r="E3" t="s">
        <v>25</v>
      </c>
      <c r="F3" t="s">
        <v>26</v>
      </c>
      <c r="G3">
        <v>9.1999999999999993</v>
      </c>
      <c r="H3">
        <v>100</v>
      </c>
      <c r="I3" t="s">
        <v>27</v>
      </c>
      <c r="J3" s="3">
        <v>1798731</v>
      </c>
      <c r="K3" s="3" t="str">
        <f>IF(G3&lt;7.9, "Don't Watch", IF(G3&gt;8, "Must Watch", "Maybe"))</f>
        <v>Must Watch</v>
      </c>
      <c r="L3" s="3" t="str">
        <f t="shared" ref="L3:L66" si="1">IF(G3=9,"Must Watch",IF(G3=8,"Maybe","Don't Watch"))</f>
        <v>Don't Watch</v>
      </c>
      <c r="M3" s="3" t="str">
        <f t="shared" ref="M3:M4" si="2">IF(AND(F3="Drama",I3="Christopher Nolan"), "Watch", "Don't Watch")</f>
        <v>Don't Watch</v>
      </c>
      <c r="N3" s="3" t="str">
        <f t="shared" ref="N3:N66" si="3">IF(I3="Billy Wilder", "Must Watch", IF(I3="John Ford", "Watch", "Maybe"))</f>
        <v>Maybe</v>
      </c>
      <c r="O3" t="s">
        <v>28</v>
      </c>
      <c r="P3" t="b">
        <f t="shared" si="0"/>
        <v>0</v>
      </c>
      <c r="Q3" t="s">
        <v>2662</v>
      </c>
      <c r="R3">
        <f>COUNT(B:B)</f>
        <v>3</v>
      </c>
    </row>
    <row r="4" spans="1:18" x14ac:dyDescent="0.25">
      <c r="A4">
        <v>3</v>
      </c>
      <c r="B4" t="s">
        <v>29</v>
      </c>
      <c r="C4">
        <v>-2008</v>
      </c>
      <c r="D4" t="s">
        <v>30</v>
      </c>
      <c r="E4" t="s">
        <v>31</v>
      </c>
      <c r="F4" t="s">
        <v>32</v>
      </c>
      <c r="G4">
        <v>9</v>
      </c>
      <c r="H4">
        <v>84</v>
      </c>
      <c r="I4" t="s">
        <v>33</v>
      </c>
      <c r="J4" s="3">
        <v>2574810</v>
      </c>
      <c r="K4" s="3" t="str">
        <f>IF(G4&lt;7.9, "Don't Watch", IF(G4&gt;8, "Must Watch", "Maybe"))</f>
        <v>Must Watch</v>
      </c>
      <c r="L4" s="3" t="str">
        <f t="shared" si="1"/>
        <v>Must Watch</v>
      </c>
      <c r="M4" s="3" t="str">
        <f t="shared" si="2"/>
        <v>Don't Watch</v>
      </c>
      <c r="N4" s="3" t="str">
        <f t="shared" si="3"/>
        <v>Maybe</v>
      </c>
      <c r="O4" t="s">
        <v>34</v>
      </c>
      <c r="P4" t="b">
        <f t="shared" si="0"/>
        <v>0</v>
      </c>
    </row>
    <row r="5" spans="1:18" x14ac:dyDescent="0.25">
      <c r="A5">
        <v>4</v>
      </c>
      <c r="B5" t="s">
        <v>35</v>
      </c>
      <c r="C5">
        <v>-2003</v>
      </c>
      <c r="D5" t="s">
        <v>30</v>
      </c>
      <c r="E5" t="s">
        <v>36</v>
      </c>
      <c r="F5" t="s">
        <v>37</v>
      </c>
      <c r="G5">
        <v>9</v>
      </c>
      <c r="H5">
        <v>94</v>
      </c>
      <c r="I5" t="s">
        <v>38</v>
      </c>
      <c r="J5" s="3">
        <v>1787701</v>
      </c>
      <c r="K5" s="3" t="str">
        <f>IF(G5&lt;7.9, "Don't Watch", IF(G5&gt;8, "Must Watch", "Maybe"))</f>
        <v>Must Watch</v>
      </c>
      <c r="L5" s="3" t="str">
        <f t="shared" si="1"/>
        <v>Must Watch</v>
      </c>
      <c r="M5" s="3"/>
      <c r="N5" s="3" t="str">
        <f t="shared" si="3"/>
        <v>Maybe</v>
      </c>
      <c r="O5" t="s">
        <v>39</v>
      </c>
      <c r="P5" t="b">
        <f t="shared" si="0"/>
        <v>0</v>
      </c>
      <c r="Q5" t="s">
        <v>2664</v>
      </c>
      <c r="R5">
        <f>COUNT(J:J)</f>
        <v>1000</v>
      </c>
    </row>
    <row r="6" spans="1:18" x14ac:dyDescent="0.25">
      <c r="A6">
        <v>5</v>
      </c>
      <c r="B6" t="s">
        <v>40</v>
      </c>
      <c r="C6">
        <v>-1993</v>
      </c>
      <c r="D6">
        <v>15</v>
      </c>
      <c r="E6" t="s">
        <v>41</v>
      </c>
      <c r="F6" t="s">
        <v>42</v>
      </c>
      <c r="G6">
        <v>9</v>
      </c>
      <c r="H6">
        <v>94</v>
      </c>
      <c r="I6" t="s">
        <v>43</v>
      </c>
      <c r="J6" s="3">
        <v>1323776</v>
      </c>
      <c r="K6" s="3" t="str">
        <f>IF(G6&lt;7.9, "Don't Watch", IF(G6&gt;8, "Must Watch", "Maybe"))</f>
        <v>Must Watch</v>
      </c>
      <c r="L6" s="3" t="str">
        <f t="shared" si="1"/>
        <v>Must Watch</v>
      </c>
      <c r="M6" s="3"/>
      <c r="N6" s="3" t="str">
        <f t="shared" si="3"/>
        <v>Maybe</v>
      </c>
      <c r="O6" t="s">
        <v>44</v>
      </c>
      <c r="P6" t="b">
        <f t="shared" si="0"/>
        <v>0</v>
      </c>
    </row>
    <row r="7" spans="1:18" x14ac:dyDescent="0.25">
      <c r="A7">
        <v>6</v>
      </c>
      <c r="B7" t="s">
        <v>45</v>
      </c>
      <c r="C7">
        <v>-1974</v>
      </c>
      <c r="D7" t="s">
        <v>24</v>
      </c>
      <c r="E7" t="s">
        <v>46</v>
      </c>
      <c r="F7" t="s">
        <v>26</v>
      </c>
      <c r="G7">
        <v>9</v>
      </c>
      <c r="H7">
        <v>90</v>
      </c>
      <c r="I7" t="s">
        <v>27</v>
      </c>
      <c r="J7" s="3">
        <v>1239027</v>
      </c>
      <c r="K7" s="3" t="str">
        <f t="shared" ref="K7:K70" si="4">IF(G7&lt;7.9, "Don't Watch", IF(G7&gt;8, "Must Watch", "Maybe"))</f>
        <v>Must Watch</v>
      </c>
      <c r="L7" s="3" t="str">
        <f t="shared" si="1"/>
        <v>Must Watch</v>
      </c>
      <c r="M7" s="3"/>
      <c r="N7" s="3" t="str">
        <f t="shared" si="3"/>
        <v>Maybe</v>
      </c>
      <c r="O7" t="s">
        <v>47</v>
      </c>
      <c r="P7" t="b">
        <f t="shared" si="0"/>
        <v>0</v>
      </c>
      <c r="Q7" t="s">
        <v>2665</v>
      </c>
      <c r="R7">
        <f>COUNTA(H:H)</f>
        <v>838</v>
      </c>
    </row>
    <row r="8" spans="1:18" x14ac:dyDescent="0.25">
      <c r="A8">
        <v>7</v>
      </c>
      <c r="B8" t="s">
        <v>48</v>
      </c>
      <c r="C8">
        <v>-1957</v>
      </c>
      <c r="D8" t="s">
        <v>49</v>
      </c>
      <c r="E8" t="s">
        <v>50</v>
      </c>
      <c r="F8" t="s">
        <v>26</v>
      </c>
      <c r="G8">
        <v>9</v>
      </c>
      <c r="H8">
        <v>96</v>
      </c>
      <c r="I8" t="s">
        <v>51</v>
      </c>
      <c r="J8" s="3">
        <v>769113</v>
      </c>
      <c r="K8" s="3" t="str">
        <f t="shared" si="4"/>
        <v>Must Watch</v>
      </c>
      <c r="L8" s="3" t="str">
        <f t="shared" si="1"/>
        <v>Must Watch</v>
      </c>
      <c r="M8" s="3"/>
      <c r="N8" s="3" t="str">
        <f t="shared" si="3"/>
        <v>Maybe</v>
      </c>
      <c r="O8" t="s">
        <v>52</v>
      </c>
      <c r="P8" t="b">
        <f t="shared" si="0"/>
        <v>0</v>
      </c>
    </row>
    <row r="9" spans="1:18" x14ac:dyDescent="0.25">
      <c r="A9">
        <v>8</v>
      </c>
      <c r="B9" t="s">
        <v>53</v>
      </c>
      <c r="C9">
        <v>-2021</v>
      </c>
      <c r="D9" t="s">
        <v>54</v>
      </c>
      <c r="E9" t="s">
        <v>55</v>
      </c>
      <c r="F9" t="s">
        <v>56</v>
      </c>
      <c r="G9">
        <v>8.9</v>
      </c>
      <c r="I9" t="s">
        <v>57</v>
      </c>
      <c r="J9" s="3">
        <v>191329</v>
      </c>
      <c r="K9" s="3" t="str">
        <f t="shared" si="4"/>
        <v>Must Watch</v>
      </c>
      <c r="L9" s="3" t="str">
        <f>IF(G9=9,"Must Watch",IF(G9=8,"Maybe","Don't Watch"))</f>
        <v>Don't Watch</v>
      </c>
      <c r="M9" s="3"/>
      <c r="N9" s="3" t="str">
        <f t="shared" si="3"/>
        <v>Maybe</v>
      </c>
      <c r="P9" t="b">
        <f t="shared" si="0"/>
        <v>0</v>
      </c>
    </row>
    <row r="10" spans="1:18" x14ac:dyDescent="0.25">
      <c r="A10">
        <v>9</v>
      </c>
      <c r="B10" t="s">
        <v>58</v>
      </c>
      <c r="C10">
        <v>-1994</v>
      </c>
      <c r="D10">
        <v>18</v>
      </c>
      <c r="E10" t="s">
        <v>59</v>
      </c>
      <c r="F10" t="s">
        <v>26</v>
      </c>
      <c r="G10">
        <v>8.9</v>
      </c>
      <c r="H10">
        <v>94</v>
      </c>
      <c r="I10" t="s">
        <v>60</v>
      </c>
      <c r="J10" s="3">
        <v>1995346</v>
      </c>
      <c r="K10" s="3" t="str">
        <f t="shared" si="4"/>
        <v>Must Watch</v>
      </c>
      <c r="L10" s="3" t="str">
        <f t="shared" si="1"/>
        <v>Don't Watch</v>
      </c>
      <c r="M10" s="3"/>
      <c r="N10" s="3" t="str">
        <f t="shared" si="3"/>
        <v>Maybe</v>
      </c>
      <c r="O10" t="s">
        <v>61</v>
      </c>
      <c r="P10" t="b">
        <f t="shared" si="0"/>
        <v>0</v>
      </c>
    </row>
    <row r="11" spans="1:18" x14ac:dyDescent="0.25">
      <c r="A11">
        <v>10</v>
      </c>
      <c r="B11" t="s">
        <v>62</v>
      </c>
      <c r="C11">
        <v>-2010</v>
      </c>
      <c r="D11" t="s">
        <v>30</v>
      </c>
      <c r="E11" t="s">
        <v>63</v>
      </c>
      <c r="F11" t="s">
        <v>64</v>
      </c>
      <c r="G11">
        <v>8.8000000000000007</v>
      </c>
      <c r="H11">
        <v>74</v>
      </c>
      <c r="I11" t="s">
        <v>33</v>
      </c>
      <c r="J11" s="3">
        <v>2284252</v>
      </c>
      <c r="K11" s="3" t="str">
        <f t="shared" si="4"/>
        <v>Must Watch</v>
      </c>
      <c r="L11" s="3" t="str">
        <f t="shared" si="1"/>
        <v>Don't Watch</v>
      </c>
      <c r="M11" s="3"/>
      <c r="N11" s="3" t="str">
        <f t="shared" si="3"/>
        <v>Maybe</v>
      </c>
      <c r="O11" t="s">
        <v>65</v>
      </c>
      <c r="P11" t="b">
        <f t="shared" si="0"/>
        <v>0</v>
      </c>
    </row>
    <row r="12" spans="1:18" x14ac:dyDescent="0.25">
      <c r="A12">
        <v>11</v>
      </c>
      <c r="B12" t="s">
        <v>66</v>
      </c>
      <c r="C12">
        <v>-2002</v>
      </c>
      <c r="D12" t="s">
        <v>30</v>
      </c>
      <c r="E12" t="s">
        <v>67</v>
      </c>
      <c r="F12" t="s">
        <v>37</v>
      </c>
      <c r="G12">
        <v>8.8000000000000007</v>
      </c>
      <c r="H12">
        <v>87</v>
      </c>
      <c r="I12" t="s">
        <v>38</v>
      </c>
      <c r="J12" s="3">
        <v>1614489</v>
      </c>
      <c r="K12" s="3" t="str">
        <f t="shared" si="4"/>
        <v>Must Watch</v>
      </c>
      <c r="L12" s="3" t="str">
        <f t="shared" si="1"/>
        <v>Don't Watch</v>
      </c>
      <c r="M12" s="3"/>
      <c r="N12" s="3" t="str">
        <f t="shared" si="3"/>
        <v>Maybe</v>
      </c>
      <c r="O12" t="s">
        <v>68</v>
      </c>
      <c r="P12" t="b">
        <f t="shared" si="0"/>
        <v>0</v>
      </c>
    </row>
    <row r="13" spans="1:18" x14ac:dyDescent="0.25">
      <c r="A13">
        <v>12</v>
      </c>
      <c r="B13" t="s">
        <v>69</v>
      </c>
      <c r="C13">
        <v>-1999</v>
      </c>
      <c r="D13">
        <v>18</v>
      </c>
      <c r="E13" t="s">
        <v>70</v>
      </c>
      <c r="F13" t="s">
        <v>20</v>
      </c>
      <c r="G13">
        <v>8.8000000000000007</v>
      </c>
      <c r="H13">
        <v>66</v>
      </c>
      <c r="I13" t="s">
        <v>71</v>
      </c>
      <c r="J13" s="3">
        <v>2050591</v>
      </c>
      <c r="K13" s="3" t="str">
        <f t="shared" si="4"/>
        <v>Must Watch</v>
      </c>
      <c r="L13" s="3" t="str">
        <f t="shared" si="1"/>
        <v>Don't Watch</v>
      </c>
      <c r="M13" s="3"/>
      <c r="N13" s="3" t="str">
        <f t="shared" si="3"/>
        <v>Maybe</v>
      </c>
      <c r="O13" t="s">
        <v>72</v>
      </c>
      <c r="P13" t="b">
        <f t="shared" si="0"/>
        <v>0</v>
      </c>
    </row>
    <row r="14" spans="1:18" x14ac:dyDescent="0.25">
      <c r="A14">
        <v>13</v>
      </c>
      <c r="B14" t="s">
        <v>73</v>
      </c>
      <c r="C14">
        <v>-2001</v>
      </c>
      <c r="D14" t="s">
        <v>74</v>
      </c>
      <c r="E14" t="s">
        <v>75</v>
      </c>
      <c r="F14" t="s">
        <v>37</v>
      </c>
      <c r="G14">
        <v>8.8000000000000007</v>
      </c>
      <c r="H14">
        <v>92</v>
      </c>
      <c r="I14" t="s">
        <v>38</v>
      </c>
      <c r="J14" s="3">
        <v>1808760</v>
      </c>
      <c r="K14" s="3" t="str">
        <f t="shared" si="4"/>
        <v>Must Watch</v>
      </c>
      <c r="L14" s="3" t="str">
        <f t="shared" si="1"/>
        <v>Don't Watch</v>
      </c>
      <c r="M14" s="3"/>
      <c r="N14" s="3" t="str">
        <f t="shared" si="3"/>
        <v>Maybe</v>
      </c>
      <c r="O14" t="s">
        <v>76</v>
      </c>
      <c r="P14" t="b">
        <f t="shared" si="0"/>
        <v>0</v>
      </c>
    </row>
    <row r="15" spans="1:18" x14ac:dyDescent="0.25">
      <c r="A15">
        <v>14</v>
      </c>
      <c r="B15" t="s">
        <v>77</v>
      </c>
      <c r="C15">
        <v>-1994</v>
      </c>
      <c r="D15">
        <v>12</v>
      </c>
      <c r="E15" t="s">
        <v>19</v>
      </c>
      <c r="F15" t="s">
        <v>78</v>
      </c>
      <c r="G15">
        <v>8.8000000000000007</v>
      </c>
      <c r="H15">
        <v>82</v>
      </c>
      <c r="I15" t="s">
        <v>79</v>
      </c>
      <c r="J15" s="3">
        <v>2011517</v>
      </c>
      <c r="K15" s="3" t="str">
        <f t="shared" si="4"/>
        <v>Must Watch</v>
      </c>
      <c r="L15" s="3" t="str">
        <f t="shared" si="1"/>
        <v>Don't Watch</v>
      </c>
      <c r="M15" s="3"/>
      <c r="N15" s="3" t="str">
        <f t="shared" si="3"/>
        <v>Maybe</v>
      </c>
      <c r="O15" t="s">
        <v>80</v>
      </c>
      <c r="P15" t="b">
        <f t="shared" si="0"/>
        <v>0</v>
      </c>
    </row>
    <row r="16" spans="1:18" x14ac:dyDescent="0.25">
      <c r="A16">
        <v>15</v>
      </c>
      <c r="B16" t="s">
        <v>81</v>
      </c>
      <c r="C16">
        <v>-1966</v>
      </c>
      <c r="D16" t="s">
        <v>24</v>
      </c>
      <c r="E16" t="s">
        <v>63</v>
      </c>
      <c r="F16" t="s">
        <v>82</v>
      </c>
      <c r="G16">
        <v>8.8000000000000007</v>
      </c>
      <c r="H16">
        <v>90</v>
      </c>
      <c r="I16" t="s">
        <v>83</v>
      </c>
      <c r="J16" s="3">
        <v>746445</v>
      </c>
      <c r="K16" s="3" t="str">
        <f t="shared" si="4"/>
        <v>Must Watch</v>
      </c>
      <c r="L16" s="3" t="str">
        <f t="shared" si="1"/>
        <v>Don't Watch</v>
      </c>
      <c r="M16" s="3"/>
      <c r="N16" s="3" t="str">
        <f t="shared" si="3"/>
        <v>Maybe</v>
      </c>
      <c r="O16" t="s">
        <v>84</v>
      </c>
      <c r="P16" t="b">
        <f t="shared" si="0"/>
        <v>0</v>
      </c>
    </row>
    <row r="17" spans="1:16" x14ac:dyDescent="0.25">
      <c r="A17">
        <v>16</v>
      </c>
      <c r="B17" t="s">
        <v>85</v>
      </c>
      <c r="C17">
        <v>-2020</v>
      </c>
      <c r="D17">
        <v>15</v>
      </c>
      <c r="E17" t="s">
        <v>86</v>
      </c>
      <c r="F17" t="s">
        <v>20</v>
      </c>
      <c r="G17">
        <v>8.6999999999999993</v>
      </c>
      <c r="I17" t="s">
        <v>87</v>
      </c>
      <c r="J17" s="3">
        <v>111090</v>
      </c>
      <c r="K17" s="3" t="str">
        <f t="shared" si="4"/>
        <v>Must Watch</v>
      </c>
      <c r="L17" s="3" t="str">
        <f t="shared" si="1"/>
        <v>Don't Watch</v>
      </c>
      <c r="M17" s="3"/>
      <c r="N17" s="3" t="str">
        <f t="shared" si="3"/>
        <v>Maybe</v>
      </c>
      <c r="P17" t="b">
        <f t="shared" si="0"/>
        <v>0</v>
      </c>
    </row>
    <row r="18" spans="1:16" x14ac:dyDescent="0.25">
      <c r="A18">
        <v>17</v>
      </c>
      <c r="B18" t="s">
        <v>88</v>
      </c>
      <c r="C18">
        <v>-1999</v>
      </c>
      <c r="D18">
        <v>15</v>
      </c>
      <c r="E18" t="s">
        <v>89</v>
      </c>
      <c r="F18" t="s">
        <v>90</v>
      </c>
      <c r="G18">
        <v>8.6999999999999993</v>
      </c>
      <c r="H18">
        <v>73</v>
      </c>
      <c r="I18" t="s">
        <v>91</v>
      </c>
      <c r="J18" s="3">
        <v>1868779</v>
      </c>
      <c r="K18" s="3" t="str">
        <f t="shared" si="4"/>
        <v>Must Watch</v>
      </c>
      <c r="L18" s="3" t="str">
        <f t="shared" si="1"/>
        <v>Don't Watch</v>
      </c>
      <c r="M18" s="3"/>
      <c r="N18" s="3" t="str">
        <f t="shared" si="3"/>
        <v>Maybe</v>
      </c>
      <c r="O18" t="s">
        <v>92</v>
      </c>
      <c r="P18" t="b">
        <f t="shared" si="0"/>
        <v>0</v>
      </c>
    </row>
    <row r="19" spans="1:16" x14ac:dyDescent="0.25">
      <c r="A19">
        <v>18</v>
      </c>
      <c r="B19" t="s">
        <v>93</v>
      </c>
      <c r="C19">
        <v>-1990</v>
      </c>
      <c r="D19">
        <v>18</v>
      </c>
      <c r="E19" t="s">
        <v>94</v>
      </c>
      <c r="F19" t="s">
        <v>95</v>
      </c>
      <c r="G19">
        <v>8.6999999999999993</v>
      </c>
      <c r="H19">
        <v>90</v>
      </c>
      <c r="I19" t="s">
        <v>96</v>
      </c>
      <c r="J19" s="3">
        <v>1125939</v>
      </c>
      <c r="K19" s="3" t="str">
        <f t="shared" si="4"/>
        <v>Must Watch</v>
      </c>
      <c r="L19" s="3" t="str">
        <f t="shared" si="1"/>
        <v>Don't Watch</v>
      </c>
      <c r="M19" s="3"/>
      <c r="N19" s="3" t="str">
        <f t="shared" si="3"/>
        <v>Maybe</v>
      </c>
      <c r="O19" t="s">
        <v>97</v>
      </c>
      <c r="P19" t="b">
        <f t="shared" si="0"/>
        <v>0</v>
      </c>
    </row>
    <row r="20" spans="1:16" x14ac:dyDescent="0.25">
      <c r="A20">
        <v>19</v>
      </c>
      <c r="B20" t="s">
        <v>98</v>
      </c>
      <c r="C20">
        <v>-1980</v>
      </c>
      <c r="D20" t="s">
        <v>49</v>
      </c>
      <c r="E20" t="s">
        <v>99</v>
      </c>
      <c r="F20" t="s">
        <v>100</v>
      </c>
      <c r="G20">
        <v>8.6999999999999993</v>
      </c>
      <c r="H20">
        <v>82</v>
      </c>
      <c r="I20" t="s">
        <v>101</v>
      </c>
      <c r="J20" s="3">
        <v>1260107</v>
      </c>
      <c r="K20" s="3" t="str">
        <f t="shared" si="4"/>
        <v>Must Watch</v>
      </c>
      <c r="L20" s="3" t="str">
        <f t="shared" si="1"/>
        <v>Don't Watch</v>
      </c>
      <c r="M20" s="3"/>
      <c r="N20" s="3" t="str">
        <f t="shared" si="3"/>
        <v>Maybe</v>
      </c>
      <c r="O20" t="s">
        <v>102</v>
      </c>
      <c r="P20" t="b">
        <f t="shared" si="0"/>
        <v>0</v>
      </c>
    </row>
    <row r="21" spans="1:16" x14ac:dyDescent="0.25">
      <c r="A21">
        <v>20</v>
      </c>
      <c r="B21" t="s">
        <v>103</v>
      </c>
      <c r="C21">
        <v>-1975</v>
      </c>
      <c r="D21">
        <v>15</v>
      </c>
      <c r="E21" t="s">
        <v>104</v>
      </c>
      <c r="F21" t="s">
        <v>20</v>
      </c>
      <c r="G21">
        <v>8.6999999999999993</v>
      </c>
      <c r="H21">
        <v>84</v>
      </c>
      <c r="I21" t="s">
        <v>105</v>
      </c>
      <c r="J21" s="3">
        <v>988024</v>
      </c>
      <c r="K21" s="3" t="str">
        <f t="shared" si="4"/>
        <v>Must Watch</v>
      </c>
      <c r="L21" s="3" t="str">
        <f t="shared" si="1"/>
        <v>Don't Watch</v>
      </c>
      <c r="M21" s="3"/>
      <c r="N21" s="3" t="str">
        <f t="shared" si="3"/>
        <v>Maybe</v>
      </c>
      <c r="O21" t="s">
        <v>106</v>
      </c>
      <c r="P21" t="b">
        <f t="shared" si="0"/>
        <v>0</v>
      </c>
    </row>
    <row r="22" spans="1:16" x14ac:dyDescent="0.25">
      <c r="A22">
        <v>21</v>
      </c>
      <c r="B22" t="s">
        <v>107</v>
      </c>
      <c r="C22">
        <v>-2022</v>
      </c>
      <c r="D22" t="s">
        <v>30</v>
      </c>
      <c r="E22" t="s">
        <v>108</v>
      </c>
      <c r="F22" t="s">
        <v>109</v>
      </c>
      <c r="G22">
        <v>8.6</v>
      </c>
      <c r="H22">
        <v>78</v>
      </c>
      <c r="I22" t="s">
        <v>110</v>
      </c>
      <c r="J22" s="3">
        <v>197691</v>
      </c>
      <c r="K22" s="3" t="str">
        <f t="shared" si="4"/>
        <v>Must Watch</v>
      </c>
      <c r="L22" s="3" t="str">
        <f t="shared" si="1"/>
        <v>Don't Watch</v>
      </c>
      <c r="M22" s="3"/>
      <c r="N22" s="3" t="str">
        <f t="shared" si="3"/>
        <v>Maybe</v>
      </c>
      <c r="P22" t="b">
        <f t="shared" si="0"/>
        <v>0</v>
      </c>
    </row>
    <row r="23" spans="1:16" x14ac:dyDescent="0.25">
      <c r="A23">
        <v>22</v>
      </c>
      <c r="B23" t="s">
        <v>111</v>
      </c>
      <c r="C23">
        <v>-2014</v>
      </c>
      <c r="D23" t="s">
        <v>30</v>
      </c>
      <c r="E23" t="s">
        <v>112</v>
      </c>
      <c r="F23" t="s">
        <v>113</v>
      </c>
      <c r="G23">
        <v>8.6</v>
      </c>
      <c r="H23">
        <v>74</v>
      </c>
      <c r="I23" t="s">
        <v>33</v>
      </c>
      <c r="J23" s="3">
        <v>1745808</v>
      </c>
      <c r="K23" s="3" t="str">
        <f t="shared" si="4"/>
        <v>Must Watch</v>
      </c>
      <c r="L23" s="3" t="str">
        <f t="shared" si="1"/>
        <v>Don't Watch</v>
      </c>
      <c r="M23" s="3"/>
      <c r="N23" s="3" t="str">
        <f t="shared" si="3"/>
        <v>Maybe</v>
      </c>
      <c r="O23" t="s">
        <v>114</v>
      </c>
      <c r="P23" t="b">
        <f t="shared" si="0"/>
        <v>0</v>
      </c>
    </row>
    <row r="24" spans="1:16" x14ac:dyDescent="0.25">
      <c r="A24">
        <v>23</v>
      </c>
      <c r="B24" t="s">
        <v>115</v>
      </c>
      <c r="C24">
        <v>-2002</v>
      </c>
      <c r="D24">
        <v>18</v>
      </c>
      <c r="E24" t="s">
        <v>108</v>
      </c>
      <c r="F24" t="s">
        <v>26</v>
      </c>
      <c r="G24">
        <v>8.6</v>
      </c>
      <c r="H24">
        <v>79</v>
      </c>
      <c r="I24" t="s">
        <v>116</v>
      </c>
      <c r="J24" s="3">
        <v>744265</v>
      </c>
      <c r="K24" s="3" t="str">
        <f t="shared" si="4"/>
        <v>Must Watch</v>
      </c>
      <c r="L24" s="3" t="str">
        <f t="shared" si="1"/>
        <v>Don't Watch</v>
      </c>
      <c r="M24" s="3"/>
      <c r="N24" s="3" t="str">
        <f t="shared" si="3"/>
        <v>Maybe</v>
      </c>
      <c r="O24" t="s">
        <v>117</v>
      </c>
      <c r="P24" t="b">
        <f t="shared" si="0"/>
        <v>0</v>
      </c>
    </row>
    <row r="25" spans="1:16" x14ac:dyDescent="0.25">
      <c r="A25">
        <v>24</v>
      </c>
      <c r="B25" t="s">
        <v>118</v>
      </c>
      <c r="C25">
        <v>-2001</v>
      </c>
      <c r="D25" t="s">
        <v>74</v>
      </c>
      <c r="E25" t="s">
        <v>119</v>
      </c>
      <c r="F25" t="s">
        <v>120</v>
      </c>
      <c r="G25">
        <v>8.6</v>
      </c>
      <c r="H25">
        <v>96</v>
      </c>
      <c r="I25" t="s">
        <v>121</v>
      </c>
      <c r="J25" s="3">
        <v>738076</v>
      </c>
      <c r="K25" s="3" t="str">
        <f t="shared" si="4"/>
        <v>Must Watch</v>
      </c>
      <c r="L25" s="3" t="str">
        <f t="shared" si="1"/>
        <v>Don't Watch</v>
      </c>
      <c r="M25" s="3"/>
      <c r="N25" s="3" t="str">
        <f t="shared" si="3"/>
        <v>Maybe</v>
      </c>
      <c r="O25" t="s">
        <v>122</v>
      </c>
      <c r="P25" t="b">
        <f t="shared" si="0"/>
        <v>0</v>
      </c>
    </row>
    <row r="26" spans="1:16" x14ac:dyDescent="0.25">
      <c r="A26">
        <v>25</v>
      </c>
      <c r="B26" t="s">
        <v>123</v>
      </c>
      <c r="C26">
        <v>-1998</v>
      </c>
      <c r="D26">
        <v>15</v>
      </c>
      <c r="E26" t="s">
        <v>112</v>
      </c>
      <c r="F26" t="s">
        <v>124</v>
      </c>
      <c r="G26">
        <v>8.6</v>
      </c>
      <c r="H26">
        <v>91</v>
      </c>
      <c r="I26" t="s">
        <v>43</v>
      </c>
      <c r="J26" s="3">
        <v>1355358</v>
      </c>
      <c r="K26" s="3" t="str">
        <f t="shared" si="4"/>
        <v>Must Watch</v>
      </c>
      <c r="L26" s="3" t="str">
        <f t="shared" si="1"/>
        <v>Don't Watch</v>
      </c>
      <c r="M26" s="3"/>
      <c r="N26" s="3" t="str">
        <f t="shared" si="3"/>
        <v>Maybe</v>
      </c>
      <c r="O26" t="s">
        <v>125</v>
      </c>
      <c r="P26" t="b">
        <f t="shared" si="0"/>
        <v>0</v>
      </c>
    </row>
    <row r="27" spans="1:16" x14ac:dyDescent="0.25">
      <c r="A27">
        <v>26</v>
      </c>
      <c r="B27" t="s">
        <v>126</v>
      </c>
      <c r="C27">
        <v>-1999</v>
      </c>
      <c r="D27">
        <v>18</v>
      </c>
      <c r="E27" t="s">
        <v>127</v>
      </c>
      <c r="F27" t="s">
        <v>128</v>
      </c>
      <c r="G27">
        <v>8.6</v>
      </c>
      <c r="H27">
        <v>61</v>
      </c>
      <c r="I27" t="s">
        <v>21</v>
      </c>
      <c r="J27" s="3">
        <v>1265684</v>
      </c>
      <c r="K27" s="3" t="str">
        <f t="shared" si="4"/>
        <v>Must Watch</v>
      </c>
      <c r="L27" s="3" t="str">
        <f t="shared" si="1"/>
        <v>Don't Watch</v>
      </c>
      <c r="M27" s="3"/>
      <c r="N27" s="3" t="str">
        <f t="shared" si="3"/>
        <v>Maybe</v>
      </c>
      <c r="O27" t="s">
        <v>129</v>
      </c>
      <c r="P27" t="b">
        <f t="shared" si="0"/>
        <v>0</v>
      </c>
    </row>
    <row r="28" spans="1:16" x14ac:dyDescent="0.25">
      <c r="A28">
        <v>27</v>
      </c>
      <c r="B28" t="s">
        <v>130</v>
      </c>
      <c r="C28">
        <v>-1997</v>
      </c>
      <c r="D28" t="s">
        <v>74</v>
      </c>
      <c r="E28" t="s">
        <v>131</v>
      </c>
      <c r="F28" t="s">
        <v>132</v>
      </c>
      <c r="G28">
        <v>8.6</v>
      </c>
      <c r="H28">
        <v>59</v>
      </c>
      <c r="I28" t="s">
        <v>133</v>
      </c>
      <c r="J28" s="3">
        <v>679930</v>
      </c>
      <c r="K28" s="3" t="str">
        <f t="shared" si="4"/>
        <v>Must Watch</v>
      </c>
      <c r="L28" s="3" t="str">
        <f t="shared" si="1"/>
        <v>Don't Watch</v>
      </c>
      <c r="M28" s="3"/>
      <c r="N28" s="3" t="str">
        <f t="shared" si="3"/>
        <v>Maybe</v>
      </c>
      <c r="O28" t="s">
        <v>134</v>
      </c>
      <c r="P28" t="b">
        <f t="shared" si="0"/>
        <v>0</v>
      </c>
    </row>
    <row r="29" spans="1:16" x14ac:dyDescent="0.25">
      <c r="A29">
        <v>28</v>
      </c>
      <c r="B29" t="s">
        <v>135</v>
      </c>
      <c r="C29">
        <v>-1995</v>
      </c>
      <c r="D29">
        <v>18</v>
      </c>
      <c r="E29" t="s">
        <v>136</v>
      </c>
      <c r="F29" t="s">
        <v>56</v>
      </c>
      <c r="G29">
        <v>8.6</v>
      </c>
      <c r="H29">
        <v>65</v>
      </c>
      <c r="I29" t="s">
        <v>71</v>
      </c>
      <c r="J29" s="3">
        <v>1598334</v>
      </c>
      <c r="K29" s="3" t="str">
        <f t="shared" si="4"/>
        <v>Must Watch</v>
      </c>
      <c r="L29" s="3" t="str">
        <f t="shared" si="1"/>
        <v>Don't Watch</v>
      </c>
      <c r="M29" s="3"/>
      <c r="N29" s="3" t="str">
        <f t="shared" si="3"/>
        <v>Maybe</v>
      </c>
      <c r="O29" t="s">
        <v>137</v>
      </c>
      <c r="P29" t="b">
        <f t="shared" si="0"/>
        <v>0</v>
      </c>
    </row>
    <row r="30" spans="1:16" x14ac:dyDescent="0.25">
      <c r="A30">
        <v>29</v>
      </c>
      <c r="B30" t="s">
        <v>138</v>
      </c>
      <c r="C30">
        <v>-1991</v>
      </c>
      <c r="D30">
        <v>15</v>
      </c>
      <c r="E30" t="s">
        <v>139</v>
      </c>
      <c r="F30" t="s">
        <v>90</v>
      </c>
      <c r="G30">
        <v>8.6</v>
      </c>
      <c r="H30">
        <v>75</v>
      </c>
      <c r="I30" t="s">
        <v>140</v>
      </c>
      <c r="J30" s="3">
        <v>1073997</v>
      </c>
      <c r="K30" s="3" t="str">
        <f t="shared" si="4"/>
        <v>Must Watch</v>
      </c>
      <c r="L30" s="3" t="str">
        <f t="shared" si="1"/>
        <v>Don't Watch</v>
      </c>
      <c r="M30" s="3"/>
      <c r="N30" s="3" t="str">
        <f t="shared" si="3"/>
        <v>Maybe</v>
      </c>
      <c r="O30" t="s">
        <v>141</v>
      </c>
      <c r="P30" t="b">
        <f t="shared" si="0"/>
        <v>0</v>
      </c>
    </row>
    <row r="31" spans="1:16" x14ac:dyDescent="0.25">
      <c r="A31">
        <v>30</v>
      </c>
      <c r="B31" t="s">
        <v>142</v>
      </c>
      <c r="C31">
        <v>-1991</v>
      </c>
      <c r="D31">
        <v>18</v>
      </c>
      <c r="E31" t="s">
        <v>143</v>
      </c>
      <c r="F31" t="s">
        <v>144</v>
      </c>
      <c r="G31">
        <v>8.6</v>
      </c>
      <c r="H31">
        <v>85</v>
      </c>
      <c r="I31" t="s">
        <v>145</v>
      </c>
      <c r="J31" s="3">
        <v>1393581</v>
      </c>
      <c r="K31" s="3" t="str">
        <f t="shared" si="4"/>
        <v>Must Watch</v>
      </c>
      <c r="L31" s="3" t="str">
        <f t="shared" si="1"/>
        <v>Don't Watch</v>
      </c>
      <c r="M31" s="3"/>
      <c r="N31" s="3" t="str">
        <f t="shared" si="3"/>
        <v>Maybe</v>
      </c>
      <c r="O31" t="s">
        <v>146</v>
      </c>
      <c r="P31" t="b">
        <f t="shared" si="0"/>
        <v>0</v>
      </c>
    </row>
    <row r="32" spans="1:16" x14ac:dyDescent="0.25">
      <c r="A32">
        <v>31</v>
      </c>
      <c r="B32" t="s">
        <v>147</v>
      </c>
      <c r="C32">
        <v>-1977</v>
      </c>
      <c r="D32" t="s">
        <v>49</v>
      </c>
      <c r="E32" t="s">
        <v>148</v>
      </c>
      <c r="F32" t="s">
        <v>100</v>
      </c>
      <c r="G32">
        <v>8.6</v>
      </c>
      <c r="H32">
        <v>90</v>
      </c>
      <c r="I32" t="s">
        <v>149</v>
      </c>
      <c r="J32" s="3">
        <v>1332341</v>
      </c>
      <c r="K32" s="3" t="str">
        <f t="shared" si="4"/>
        <v>Must Watch</v>
      </c>
      <c r="L32" s="3" t="str">
        <f t="shared" si="1"/>
        <v>Don't Watch</v>
      </c>
      <c r="M32" s="3"/>
      <c r="N32" s="3" t="str">
        <f t="shared" si="3"/>
        <v>Maybe</v>
      </c>
      <c r="O32" t="s">
        <v>150</v>
      </c>
      <c r="P32" t="b">
        <f t="shared" si="0"/>
        <v>0</v>
      </c>
    </row>
    <row r="33" spans="1:16" x14ac:dyDescent="0.25">
      <c r="A33">
        <v>32</v>
      </c>
      <c r="B33" t="s">
        <v>151</v>
      </c>
      <c r="C33">
        <v>-1962</v>
      </c>
      <c r="D33" t="s">
        <v>24</v>
      </c>
      <c r="E33" t="s">
        <v>104</v>
      </c>
      <c r="F33" t="s">
        <v>152</v>
      </c>
      <c r="G33">
        <v>8.6</v>
      </c>
      <c r="H33">
        <v>85</v>
      </c>
      <c r="I33" t="s">
        <v>153</v>
      </c>
      <c r="J33" s="3">
        <v>54658</v>
      </c>
      <c r="K33" s="3" t="str">
        <f t="shared" si="4"/>
        <v>Must Watch</v>
      </c>
      <c r="L33" s="3" t="str">
        <f t="shared" si="1"/>
        <v>Don't Watch</v>
      </c>
      <c r="M33" s="3"/>
      <c r="N33" s="3" t="str">
        <f t="shared" si="3"/>
        <v>Maybe</v>
      </c>
      <c r="P33" t="b">
        <f t="shared" si="0"/>
        <v>0</v>
      </c>
    </row>
    <row r="34" spans="1:16" x14ac:dyDescent="0.25">
      <c r="A34">
        <v>33</v>
      </c>
      <c r="B34" t="s">
        <v>154</v>
      </c>
      <c r="C34">
        <v>-1954</v>
      </c>
      <c r="D34" t="s">
        <v>155</v>
      </c>
      <c r="E34" t="s">
        <v>156</v>
      </c>
      <c r="F34" t="s">
        <v>109</v>
      </c>
      <c r="G34">
        <v>8.6</v>
      </c>
      <c r="H34">
        <v>98</v>
      </c>
      <c r="I34" t="s">
        <v>157</v>
      </c>
      <c r="J34" s="3">
        <v>340610</v>
      </c>
      <c r="K34" s="3" t="str">
        <f t="shared" si="4"/>
        <v>Must Watch</v>
      </c>
      <c r="L34" s="3" t="str">
        <f t="shared" si="1"/>
        <v>Don't Watch</v>
      </c>
      <c r="M34" s="3"/>
      <c r="N34" s="3" t="str">
        <f t="shared" si="3"/>
        <v>Maybe</v>
      </c>
      <c r="O34" t="s">
        <v>158</v>
      </c>
      <c r="P34" t="b">
        <f t="shared" ref="P34:P66" si="5">ISNUMBER(B:B)</f>
        <v>0</v>
      </c>
    </row>
    <row r="35" spans="1:16" x14ac:dyDescent="0.25">
      <c r="A35">
        <v>34</v>
      </c>
      <c r="B35" t="s">
        <v>159</v>
      </c>
      <c r="C35">
        <v>-1946</v>
      </c>
      <c r="D35" t="s">
        <v>49</v>
      </c>
      <c r="E35" t="s">
        <v>108</v>
      </c>
      <c r="F35" t="s">
        <v>160</v>
      </c>
      <c r="G35">
        <v>8.6</v>
      </c>
      <c r="H35">
        <v>89</v>
      </c>
      <c r="I35" t="s">
        <v>161</v>
      </c>
      <c r="J35" s="3">
        <v>447135</v>
      </c>
      <c r="K35" s="3" t="str">
        <f t="shared" si="4"/>
        <v>Must Watch</v>
      </c>
      <c r="L35" s="3" t="str">
        <f t="shared" si="1"/>
        <v>Don't Watch</v>
      </c>
      <c r="M35" s="3"/>
      <c r="N35" s="3" t="str">
        <f t="shared" si="3"/>
        <v>Maybe</v>
      </c>
      <c r="P35" t="b">
        <f t="shared" si="5"/>
        <v>0</v>
      </c>
    </row>
    <row r="36" spans="1:16" x14ac:dyDescent="0.25">
      <c r="A36">
        <v>35</v>
      </c>
      <c r="B36" t="s">
        <v>162</v>
      </c>
      <c r="C36">
        <v>-2019</v>
      </c>
      <c r="D36" t="s">
        <v>30</v>
      </c>
      <c r="E36" t="s">
        <v>163</v>
      </c>
      <c r="F36" t="s">
        <v>109</v>
      </c>
      <c r="G36">
        <v>8.5</v>
      </c>
      <c r="I36" t="s">
        <v>164</v>
      </c>
      <c r="J36" s="3">
        <v>26935</v>
      </c>
      <c r="K36" s="3" t="str">
        <f t="shared" si="4"/>
        <v>Must Watch</v>
      </c>
      <c r="L36" s="3" t="str">
        <f t="shared" si="1"/>
        <v>Don't Watch</v>
      </c>
      <c r="M36" s="3"/>
      <c r="N36" s="3" t="str">
        <f t="shared" si="3"/>
        <v>Maybe</v>
      </c>
      <c r="P36" t="b">
        <f t="shared" si="5"/>
        <v>0</v>
      </c>
    </row>
    <row r="37" spans="1:16" x14ac:dyDescent="0.25">
      <c r="A37">
        <v>36</v>
      </c>
      <c r="B37" t="s">
        <v>165</v>
      </c>
      <c r="C37">
        <v>-2019</v>
      </c>
      <c r="D37">
        <v>15</v>
      </c>
      <c r="E37" t="s">
        <v>166</v>
      </c>
      <c r="F37" t="s">
        <v>167</v>
      </c>
      <c r="G37">
        <v>8.5</v>
      </c>
      <c r="H37">
        <v>96</v>
      </c>
      <c r="I37" t="s">
        <v>168</v>
      </c>
      <c r="J37" s="3">
        <v>753815</v>
      </c>
      <c r="K37" s="3" t="str">
        <f t="shared" si="4"/>
        <v>Must Watch</v>
      </c>
      <c r="L37" s="3" t="str">
        <f t="shared" si="1"/>
        <v>Don't Watch</v>
      </c>
      <c r="M37" s="3"/>
      <c r="N37" s="3" t="str">
        <f t="shared" si="3"/>
        <v>Maybe</v>
      </c>
      <c r="O37" t="s">
        <v>169</v>
      </c>
      <c r="P37" t="b">
        <f t="shared" si="5"/>
        <v>0</v>
      </c>
    </row>
    <row r="38" spans="1:16" x14ac:dyDescent="0.25">
      <c r="A38">
        <v>37</v>
      </c>
      <c r="B38" t="s">
        <v>170</v>
      </c>
      <c r="C38">
        <v>-2014</v>
      </c>
      <c r="D38">
        <v>15</v>
      </c>
      <c r="E38" t="s">
        <v>171</v>
      </c>
      <c r="F38" t="s">
        <v>172</v>
      </c>
      <c r="G38">
        <v>8.5</v>
      </c>
      <c r="H38">
        <v>88</v>
      </c>
      <c r="I38" t="s">
        <v>173</v>
      </c>
      <c r="J38" s="3">
        <v>817783</v>
      </c>
      <c r="K38" s="3" t="str">
        <f t="shared" si="4"/>
        <v>Must Watch</v>
      </c>
      <c r="L38" s="3" t="str">
        <f t="shared" si="1"/>
        <v>Don't Watch</v>
      </c>
      <c r="M38" s="3"/>
      <c r="N38" s="3" t="str">
        <f t="shared" si="3"/>
        <v>Maybe</v>
      </c>
      <c r="O38" t="s">
        <v>174</v>
      </c>
      <c r="P38" t="b">
        <f t="shared" si="5"/>
        <v>0</v>
      </c>
    </row>
    <row r="39" spans="1:16" x14ac:dyDescent="0.25">
      <c r="A39">
        <v>38</v>
      </c>
      <c r="B39" t="s">
        <v>175</v>
      </c>
      <c r="C39">
        <v>-2011</v>
      </c>
      <c r="D39">
        <v>15</v>
      </c>
      <c r="E39" t="s">
        <v>176</v>
      </c>
      <c r="F39" t="s">
        <v>177</v>
      </c>
      <c r="G39">
        <v>8.5</v>
      </c>
      <c r="H39">
        <v>57</v>
      </c>
      <c r="I39" t="s">
        <v>178</v>
      </c>
      <c r="J39" s="3">
        <v>836550</v>
      </c>
      <c r="K39" s="3" t="str">
        <f t="shared" si="4"/>
        <v>Must Watch</v>
      </c>
      <c r="L39" s="3" t="str">
        <f t="shared" si="1"/>
        <v>Don't Watch</v>
      </c>
      <c r="M39" s="3"/>
      <c r="N39" s="3" t="str">
        <f t="shared" si="3"/>
        <v>Maybe</v>
      </c>
      <c r="O39" t="s">
        <v>179</v>
      </c>
      <c r="P39" t="b">
        <f t="shared" si="5"/>
        <v>0</v>
      </c>
    </row>
    <row r="40" spans="1:16" x14ac:dyDescent="0.25">
      <c r="A40">
        <v>39</v>
      </c>
      <c r="B40" t="s">
        <v>180</v>
      </c>
      <c r="C40">
        <v>-2022</v>
      </c>
      <c r="D40">
        <v>15</v>
      </c>
      <c r="E40" t="s">
        <v>181</v>
      </c>
      <c r="F40" t="s">
        <v>32</v>
      </c>
      <c r="G40">
        <v>8.5</v>
      </c>
      <c r="I40" t="s">
        <v>182</v>
      </c>
      <c r="J40" s="3">
        <v>109453</v>
      </c>
      <c r="K40" s="3" t="str">
        <f t="shared" si="4"/>
        <v>Must Watch</v>
      </c>
      <c r="L40" s="3" t="str">
        <f t="shared" si="1"/>
        <v>Don't Watch</v>
      </c>
      <c r="M40" s="3"/>
      <c r="N40" s="3" t="str">
        <f t="shared" si="3"/>
        <v>Maybe</v>
      </c>
      <c r="P40" t="b">
        <f t="shared" si="5"/>
        <v>0</v>
      </c>
    </row>
    <row r="41" spans="1:16" x14ac:dyDescent="0.25">
      <c r="A41">
        <v>40</v>
      </c>
      <c r="B41" t="s">
        <v>183</v>
      </c>
      <c r="C41">
        <v>-2021</v>
      </c>
      <c r="D41" t="s">
        <v>184</v>
      </c>
      <c r="E41" t="s">
        <v>55</v>
      </c>
      <c r="F41" t="s">
        <v>95</v>
      </c>
      <c r="G41">
        <v>8.5</v>
      </c>
      <c r="I41" t="s">
        <v>185</v>
      </c>
      <c r="J41" s="3">
        <v>39965</v>
      </c>
      <c r="K41" s="3" t="str">
        <f t="shared" si="4"/>
        <v>Must Watch</v>
      </c>
      <c r="L41" s="3" t="str">
        <f t="shared" si="1"/>
        <v>Don't Watch</v>
      </c>
      <c r="M41" s="3"/>
      <c r="N41" s="3" t="str">
        <f t="shared" si="3"/>
        <v>Maybe</v>
      </c>
      <c r="P41" t="b">
        <f t="shared" si="5"/>
        <v>0</v>
      </c>
    </row>
    <row r="42" spans="1:16" x14ac:dyDescent="0.25">
      <c r="A42">
        <v>41</v>
      </c>
      <c r="B42" t="s">
        <v>186</v>
      </c>
      <c r="C42">
        <v>-2006</v>
      </c>
      <c r="D42" t="s">
        <v>30</v>
      </c>
      <c r="E42" t="s">
        <v>108</v>
      </c>
      <c r="F42" t="s">
        <v>187</v>
      </c>
      <c r="G42">
        <v>8.5</v>
      </c>
      <c r="H42">
        <v>66</v>
      </c>
      <c r="I42" t="s">
        <v>33</v>
      </c>
      <c r="J42" s="3">
        <v>1300776</v>
      </c>
      <c r="K42" s="3" t="str">
        <f t="shared" si="4"/>
        <v>Must Watch</v>
      </c>
      <c r="L42" s="3" t="str">
        <f t="shared" si="1"/>
        <v>Don't Watch</v>
      </c>
      <c r="M42" s="3"/>
      <c r="N42" s="3" t="str">
        <f t="shared" si="3"/>
        <v>Maybe</v>
      </c>
      <c r="O42" t="s">
        <v>188</v>
      </c>
      <c r="P42" t="b">
        <f t="shared" si="5"/>
        <v>0</v>
      </c>
    </row>
    <row r="43" spans="1:16" x14ac:dyDescent="0.25">
      <c r="A43">
        <v>42</v>
      </c>
      <c r="B43" t="s">
        <v>189</v>
      </c>
      <c r="C43">
        <v>-2006</v>
      </c>
      <c r="D43">
        <v>18</v>
      </c>
      <c r="E43" t="s">
        <v>190</v>
      </c>
      <c r="F43" t="s">
        <v>144</v>
      </c>
      <c r="G43">
        <v>8.5</v>
      </c>
      <c r="H43">
        <v>85</v>
      </c>
      <c r="I43" t="s">
        <v>96</v>
      </c>
      <c r="J43" s="3">
        <v>1293859</v>
      </c>
      <c r="K43" s="3" t="str">
        <f t="shared" si="4"/>
        <v>Must Watch</v>
      </c>
      <c r="L43" s="3" t="str">
        <f t="shared" si="1"/>
        <v>Don't Watch</v>
      </c>
      <c r="M43" s="3"/>
      <c r="N43" s="3" t="str">
        <f t="shared" si="3"/>
        <v>Maybe</v>
      </c>
      <c r="O43" t="s">
        <v>191</v>
      </c>
      <c r="P43" t="b">
        <f t="shared" si="5"/>
        <v>0</v>
      </c>
    </row>
    <row r="44" spans="1:16" x14ac:dyDescent="0.25">
      <c r="A44">
        <v>43</v>
      </c>
      <c r="B44" t="s">
        <v>192</v>
      </c>
      <c r="C44">
        <v>-2002</v>
      </c>
      <c r="D44">
        <v>15</v>
      </c>
      <c r="E44" t="s">
        <v>193</v>
      </c>
      <c r="F44" t="s">
        <v>194</v>
      </c>
      <c r="G44">
        <v>8.5</v>
      </c>
      <c r="H44">
        <v>85</v>
      </c>
      <c r="I44" t="s">
        <v>195</v>
      </c>
      <c r="J44" s="3">
        <v>810102</v>
      </c>
      <c r="K44" s="3" t="str">
        <f t="shared" si="4"/>
        <v>Must Watch</v>
      </c>
      <c r="L44" s="3" t="str">
        <f t="shared" si="1"/>
        <v>Don't Watch</v>
      </c>
      <c r="M44" s="3"/>
      <c r="N44" s="3" t="str">
        <f t="shared" si="3"/>
        <v>Maybe</v>
      </c>
      <c r="O44" t="s">
        <v>196</v>
      </c>
      <c r="P44" t="b">
        <f t="shared" si="5"/>
        <v>0</v>
      </c>
    </row>
    <row r="45" spans="1:16" x14ac:dyDescent="0.25">
      <c r="A45">
        <v>44</v>
      </c>
      <c r="B45" t="s">
        <v>197</v>
      </c>
      <c r="C45">
        <v>-2000</v>
      </c>
      <c r="D45">
        <v>15</v>
      </c>
      <c r="E45" t="s">
        <v>198</v>
      </c>
      <c r="F45" t="s">
        <v>37</v>
      </c>
      <c r="G45">
        <v>8.5</v>
      </c>
      <c r="H45">
        <v>67</v>
      </c>
      <c r="I45" t="s">
        <v>199</v>
      </c>
      <c r="J45" s="3">
        <v>1462476</v>
      </c>
      <c r="K45" s="3" t="str">
        <f t="shared" si="4"/>
        <v>Must Watch</v>
      </c>
      <c r="L45" s="3" t="str">
        <f t="shared" si="1"/>
        <v>Don't Watch</v>
      </c>
      <c r="M45" s="3"/>
      <c r="N45" s="3" t="str">
        <f t="shared" si="3"/>
        <v>Maybe</v>
      </c>
      <c r="O45" t="s">
        <v>200</v>
      </c>
      <c r="P45" t="b">
        <f t="shared" si="5"/>
        <v>0</v>
      </c>
    </row>
    <row r="46" spans="1:16" x14ac:dyDescent="0.25">
      <c r="A46">
        <v>45</v>
      </c>
      <c r="B46" t="s">
        <v>201</v>
      </c>
      <c r="C46">
        <v>-1998</v>
      </c>
      <c r="D46">
        <v>18</v>
      </c>
      <c r="E46" t="s">
        <v>202</v>
      </c>
      <c r="F46" t="s">
        <v>26</v>
      </c>
      <c r="G46">
        <v>8.5</v>
      </c>
      <c r="H46">
        <v>62</v>
      </c>
      <c r="I46" t="s">
        <v>203</v>
      </c>
      <c r="J46" s="3">
        <v>1101298</v>
      </c>
      <c r="K46" s="3" t="str">
        <f t="shared" si="4"/>
        <v>Must Watch</v>
      </c>
      <c r="L46" s="3" t="str">
        <f t="shared" si="1"/>
        <v>Don't Watch</v>
      </c>
      <c r="M46" s="3"/>
      <c r="N46" s="3" t="str">
        <f t="shared" si="3"/>
        <v>Maybe</v>
      </c>
      <c r="O46" t="s">
        <v>204</v>
      </c>
      <c r="P46" t="b">
        <f t="shared" si="5"/>
        <v>0</v>
      </c>
    </row>
    <row r="47" spans="1:16" x14ac:dyDescent="0.25">
      <c r="A47">
        <v>46</v>
      </c>
      <c r="B47" t="s">
        <v>205</v>
      </c>
      <c r="C47">
        <v>-1995</v>
      </c>
      <c r="D47">
        <v>18</v>
      </c>
      <c r="E47" t="s">
        <v>171</v>
      </c>
      <c r="F47" t="s">
        <v>56</v>
      </c>
      <c r="G47">
        <v>8.5</v>
      </c>
      <c r="H47">
        <v>77</v>
      </c>
      <c r="I47" t="s">
        <v>206</v>
      </c>
      <c r="J47" s="3">
        <v>1065395</v>
      </c>
      <c r="K47" s="3" t="str">
        <f t="shared" si="4"/>
        <v>Must Watch</v>
      </c>
      <c r="L47" s="3" t="str">
        <f t="shared" si="1"/>
        <v>Don't Watch</v>
      </c>
      <c r="M47" s="3"/>
      <c r="N47" s="3" t="str">
        <f t="shared" si="3"/>
        <v>Maybe</v>
      </c>
      <c r="O47" t="s">
        <v>207</v>
      </c>
      <c r="P47" t="b">
        <f t="shared" si="5"/>
        <v>0</v>
      </c>
    </row>
    <row r="48" spans="1:16" x14ac:dyDescent="0.25">
      <c r="A48">
        <v>47</v>
      </c>
      <c r="B48" t="s">
        <v>208</v>
      </c>
      <c r="C48">
        <v>-1994</v>
      </c>
      <c r="D48">
        <v>18</v>
      </c>
      <c r="E48" t="s">
        <v>209</v>
      </c>
      <c r="F48" t="s">
        <v>32</v>
      </c>
      <c r="G48">
        <v>8.5</v>
      </c>
      <c r="H48">
        <v>64</v>
      </c>
      <c r="I48" t="s">
        <v>210</v>
      </c>
      <c r="J48" s="3">
        <v>1133091</v>
      </c>
      <c r="K48" s="3" t="str">
        <f t="shared" si="4"/>
        <v>Must Watch</v>
      </c>
      <c r="L48" s="3" t="str">
        <f t="shared" si="1"/>
        <v>Don't Watch</v>
      </c>
      <c r="M48" s="3"/>
      <c r="N48" s="3" t="str">
        <f t="shared" si="3"/>
        <v>Maybe</v>
      </c>
      <c r="O48" t="s">
        <v>211</v>
      </c>
      <c r="P48" t="b">
        <f t="shared" si="5"/>
        <v>0</v>
      </c>
    </row>
    <row r="49" spans="1:16" x14ac:dyDescent="0.25">
      <c r="A49">
        <v>48</v>
      </c>
      <c r="B49" t="s">
        <v>212</v>
      </c>
      <c r="C49">
        <v>-1994</v>
      </c>
      <c r="D49" t="s">
        <v>49</v>
      </c>
      <c r="E49" t="s">
        <v>213</v>
      </c>
      <c r="F49" t="s">
        <v>214</v>
      </c>
      <c r="G49">
        <v>8.5</v>
      </c>
      <c r="H49">
        <v>88</v>
      </c>
      <c r="I49" t="s">
        <v>215</v>
      </c>
      <c r="J49" s="3">
        <v>1031212</v>
      </c>
      <c r="K49" s="3" t="str">
        <f t="shared" si="4"/>
        <v>Must Watch</v>
      </c>
      <c r="L49" s="3" t="str">
        <f t="shared" si="1"/>
        <v>Don't Watch</v>
      </c>
      <c r="M49" s="3"/>
      <c r="N49" s="3" t="str">
        <f t="shared" si="3"/>
        <v>Maybe</v>
      </c>
      <c r="O49" t="s">
        <v>216</v>
      </c>
      <c r="P49" t="b">
        <f t="shared" si="5"/>
        <v>0</v>
      </c>
    </row>
    <row r="50" spans="1:16" x14ac:dyDescent="0.25">
      <c r="A50">
        <v>49</v>
      </c>
      <c r="B50" t="s">
        <v>217</v>
      </c>
      <c r="C50">
        <v>-1988</v>
      </c>
      <c r="D50" t="s">
        <v>74</v>
      </c>
      <c r="E50" t="s">
        <v>198</v>
      </c>
      <c r="F50" t="s">
        <v>78</v>
      </c>
      <c r="G50">
        <v>8.5</v>
      </c>
      <c r="H50">
        <v>80</v>
      </c>
      <c r="I50" t="s">
        <v>218</v>
      </c>
      <c r="J50" s="3">
        <v>255977</v>
      </c>
      <c r="K50" s="3" t="str">
        <f t="shared" si="4"/>
        <v>Must Watch</v>
      </c>
      <c r="L50" s="3" t="str">
        <f t="shared" si="1"/>
        <v>Don't Watch</v>
      </c>
      <c r="M50" s="3"/>
      <c r="N50" s="3" t="str">
        <f t="shared" si="3"/>
        <v>Maybe</v>
      </c>
      <c r="O50" t="s">
        <v>219</v>
      </c>
      <c r="P50" t="b">
        <f t="shared" si="5"/>
        <v>0</v>
      </c>
    </row>
    <row r="51" spans="1:16" x14ac:dyDescent="0.25">
      <c r="A51">
        <v>50</v>
      </c>
      <c r="B51" t="s">
        <v>220</v>
      </c>
      <c r="C51">
        <v>-1988</v>
      </c>
      <c r="D51" t="s">
        <v>30</v>
      </c>
      <c r="E51" t="s">
        <v>221</v>
      </c>
      <c r="F51" t="s">
        <v>222</v>
      </c>
      <c r="G51">
        <v>8.5</v>
      </c>
      <c r="H51">
        <v>94</v>
      </c>
      <c r="I51" t="s">
        <v>223</v>
      </c>
      <c r="J51" s="3">
        <v>269013</v>
      </c>
      <c r="K51" s="3" t="str">
        <f t="shared" si="4"/>
        <v>Must Watch</v>
      </c>
      <c r="L51" s="3" t="str">
        <f t="shared" si="1"/>
        <v>Don't Watch</v>
      </c>
      <c r="M51" s="3"/>
      <c r="N51" s="3" t="str">
        <f t="shared" si="3"/>
        <v>Maybe</v>
      </c>
      <c r="P51" t="b">
        <f t="shared" si="5"/>
        <v>0</v>
      </c>
    </row>
    <row r="52" spans="1:16" x14ac:dyDescent="0.25">
      <c r="A52">
        <v>51</v>
      </c>
      <c r="B52" t="s">
        <v>224</v>
      </c>
      <c r="C52">
        <v>-1985</v>
      </c>
      <c r="D52" t="s">
        <v>74</v>
      </c>
      <c r="E52" t="s">
        <v>131</v>
      </c>
      <c r="F52" t="s">
        <v>225</v>
      </c>
      <c r="G52">
        <v>8.5</v>
      </c>
      <c r="H52">
        <v>87</v>
      </c>
      <c r="I52" t="s">
        <v>79</v>
      </c>
      <c r="J52" s="3">
        <v>1168856</v>
      </c>
      <c r="K52" s="3" t="str">
        <f t="shared" si="4"/>
        <v>Must Watch</v>
      </c>
      <c r="L52" s="3" t="str">
        <f t="shared" si="1"/>
        <v>Don't Watch</v>
      </c>
      <c r="M52" s="3"/>
      <c r="N52" s="3" t="str">
        <f t="shared" si="3"/>
        <v>Maybe</v>
      </c>
      <c r="O52" t="s">
        <v>226</v>
      </c>
      <c r="P52" t="b">
        <f t="shared" si="5"/>
        <v>0</v>
      </c>
    </row>
    <row r="53" spans="1:16" x14ac:dyDescent="0.25">
      <c r="A53">
        <v>52</v>
      </c>
      <c r="B53" t="s">
        <v>227</v>
      </c>
      <c r="C53">
        <v>-1979</v>
      </c>
      <c r="D53" t="s">
        <v>24</v>
      </c>
      <c r="E53" t="s">
        <v>228</v>
      </c>
      <c r="F53" t="s">
        <v>229</v>
      </c>
      <c r="G53">
        <v>8.5</v>
      </c>
      <c r="H53">
        <v>94</v>
      </c>
      <c r="I53" t="s">
        <v>27</v>
      </c>
      <c r="J53" s="3">
        <v>654463</v>
      </c>
      <c r="K53" s="3" t="str">
        <f t="shared" si="4"/>
        <v>Must Watch</v>
      </c>
      <c r="L53" s="3" t="str">
        <f t="shared" si="1"/>
        <v>Don't Watch</v>
      </c>
      <c r="M53" s="3"/>
      <c r="N53" s="3" t="str">
        <f t="shared" si="3"/>
        <v>Maybe</v>
      </c>
      <c r="O53" t="s">
        <v>230</v>
      </c>
      <c r="P53" t="b">
        <f t="shared" si="5"/>
        <v>0</v>
      </c>
    </row>
    <row r="54" spans="1:16" x14ac:dyDescent="0.25">
      <c r="A54">
        <v>53</v>
      </c>
      <c r="B54" t="s">
        <v>231</v>
      </c>
      <c r="C54">
        <v>-1979</v>
      </c>
      <c r="D54" t="s">
        <v>24</v>
      </c>
      <c r="E54" t="s">
        <v>232</v>
      </c>
      <c r="F54" t="s">
        <v>233</v>
      </c>
      <c r="G54">
        <v>8.5</v>
      </c>
      <c r="H54">
        <v>89</v>
      </c>
      <c r="I54" t="s">
        <v>199</v>
      </c>
      <c r="J54" s="3">
        <v>859025</v>
      </c>
      <c r="K54" s="3" t="str">
        <f t="shared" si="4"/>
        <v>Must Watch</v>
      </c>
      <c r="L54" s="3" t="str">
        <f t="shared" si="1"/>
        <v>Don't Watch</v>
      </c>
      <c r="M54" s="3"/>
      <c r="N54" s="3" t="str">
        <f t="shared" si="3"/>
        <v>Maybe</v>
      </c>
      <c r="O54" t="s">
        <v>234</v>
      </c>
      <c r="P54" t="b">
        <f t="shared" si="5"/>
        <v>0</v>
      </c>
    </row>
    <row r="55" spans="1:16" x14ac:dyDescent="0.25">
      <c r="A55">
        <v>54</v>
      </c>
      <c r="B55" t="s">
        <v>235</v>
      </c>
      <c r="C55">
        <v>-1968</v>
      </c>
      <c r="D55" t="s">
        <v>236</v>
      </c>
      <c r="E55" t="s">
        <v>237</v>
      </c>
      <c r="F55" t="s">
        <v>238</v>
      </c>
      <c r="G55">
        <v>8.5</v>
      </c>
      <c r="H55">
        <v>80</v>
      </c>
      <c r="I55" t="s">
        <v>83</v>
      </c>
      <c r="J55" s="3">
        <v>324579</v>
      </c>
      <c r="K55" s="3" t="str">
        <f t="shared" si="4"/>
        <v>Must Watch</v>
      </c>
      <c r="L55" s="3" t="str">
        <f t="shared" si="1"/>
        <v>Don't Watch</v>
      </c>
      <c r="M55" s="3"/>
      <c r="N55" s="3" t="str">
        <f t="shared" si="3"/>
        <v>Maybe</v>
      </c>
      <c r="O55" t="s">
        <v>239</v>
      </c>
      <c r="P55" t="b">
        <f t="shared" si="5"/>
        <v>0</v>
      </c>
    </row>
    <row r="56" spans="1:16" x14ac:dyDescent="0.25">
      <c r="A56">
        <v>55</v>
      </c>
      <c r="B56" t="s">
        <v>240</v>
      </c>
      <c r="C56">
        <v>-1960</v>
      </c>
      <c r="D56">
        <v>15</v>
      </c>
      <c r="E56" t="s">
        <v>241</v>
      </c>
      <c r="F56" t="s">
        <v>242</v>
      </c>
      <c r="G56">
        <v>8.5</v>
      </c>
      <c r="H56">
        <v>97</v>
      </c>
      <c r="I56" t="s">
        <v>243</v>
      </c>
      <c r="J56" s="3">
        <v>656848</v>
      </c>
      <c r="K56" s="3" t="str">
        <f t="shared" si="4"/>
        <v>Must Watch</v>
      </c>
      <c r="L56" s="3" t="str">
        <f t="shared" si="1"/>
        <v>Don't Watch</v>
      </c>
      <c r="M56" s="3"/>
      <c r="N56" s="3" t="str">
        <f t="shared" si="3"/>
        <v>Maybe</v>
      </c>
      <c r="O56" t="s">
        <v>244</v>
      </c>
      <c r="P56" t="b">
        <f t="shared" si="5"/>
        <v>0</v>
      </c>
    </row>
    <row r="57" spans="1:16" x14ac:dyDescent="0.25">
      <c r="A57">
        <v>56</v>
      </c>
      <c r="B57" t="s">
        <v>245</v>
      </c>
      <c r="C57">
        <v>-1954</v>
      </c>
      <c r="D57" t="s">
        <v>155</v>
      </c>
      <c r="E57" t="s">
        <v>176</v>
      </c>
      <c r="F57" t="s">
        <v>246</v>
      </c>
      <c r="G57">
        <v>8.5</v>
      </c>
      <c r="H57">
        <v>100</v>
      </c>
      <c r="I57" t="s">
        <v>243</v>
      </c>
      <c r="J57" s="3">
        <v>482791</v>
      </c>
      <c r="K57" s="3" t="str">
        <f t="shared" si="4"/>
        <v>Must Watch</v>
      </c>
      <c r="L57" s="3" t="str">
        <f t="shared" si="1"/>
        <v>Don't Watch</v>
      </c>
      <c r="M57" s="3"/>
      <c r="N57" s="3" t="str">
        <f t="shared" si="3"/>
        <v>Maybe</v>
      </c>
      <c r="O57" t="s">
        <v>247</v>
      </c>
      <c r="P57" t="b">
        <f t="shared" si="5"/>
        <v>0</v>
      </c>
    </row>
    <row r="58" spans="1:16" x14ac:dyDescent="0.25">
      <c r="A58">
        <v>57</v>
      </c>
      <c r="B58" t="s">
        <v>248</v>
      </c>
      <c r="C58">
        <v>-1942</v>
      </c>
      <c r="D58" t="s">
        <v>49</v>
      </c>
      <c r="E58" t="s">
        <v>249</v>
      </c>
      <c r="F58" t="s">
        <v>250</v>
      </c>
      <c r="G58">
        <v>8.5</v>
      </c>
      <c r="H58">
        <v>100</v>
      </c>
      <c r="I58" t="s">
        <v>251</v>
      </c>
      <c r="J58" s="3">
        <v>562032</v>
      </c>
      <c r="K58" s="3" t="str">
        <f t="shared" si="4"/>
        <v>Must Watch</v>
      </c>
      <c r="L58" s="3" t="str">
        <f t="shared" si="1"/>
        <v>Don't Watch</v>
      </c>
      <c r="M58" s="3"/>
      <c r="N58" s="3" t="str">
        <f t="shared" si="3"/>
        <v>Maybe</v>
      </c>
      <c r="O58" t="s">
        <v>252</v>
      </c>
      <c r="P58" t="b">
        <f t="shared" si="5"/>
        <v>0</v>
      </c>
    </row>
    <row r="59" spans="1:16" x14ac:dyDescent="0.25">
      <c r="A59">
        <v>58</v>
      </c>
      <c r="B59" t="s">
        <v>253</v>
      </c>
      <c r="C59">
        <v>-1936</v>
      </c>
      <c r="D59" t="s">
        <v>49</v>
      </c>
      <c r="E59" t="s">
        <v>254</v>
      </c>
      <c r="F59" t="s">
        <v>132</v>
      </c>
      <c r="G59">
        <v>8.5</v>
      </c>
      <c r="H59">
        <v>96</v>
      </c>
      <c r="I59" t="s">
        <v>255</v>
      </c>
      <c r="J59" s="3">
        <v>238449</v>
      </c>
      <c r="K59" s="3" t="str">
        <f t="shared" si="4"/>
        <v>Must Watch</v>
      </c>
      <c r="L59" s="3" t="str">
        <f t="shared" si="1"/>
        <v>Don't Watch</v>
      </c>
      <c r="M59" s="3"/>
      <c r="N59" s="3" t="str">
        <f t="shared" si="3"/>
        <v>Maybe</v>
      </c>
      <c r="O59" t="s">
        <v>256</v>
      </c>
      <c r="P59" t="b">
        <f t="shared" si="5"/>
        <v>0</v>
      </c>
    </row>
    <row r="60" spans="1:16" x14ac:dyDescent="0.25">
      <c r="A60">
        <v>59</v>
      </c>
      <c r="B60" t="s">
        <v>257</v>
      </c>
      <c r="C60">
        <v>-1931</v>
      </c>
      <c r="D60" t="s">
        <v>49</v>
      </c>
      <c r="E60" t="s">
        <v>254</v>
      </c>
      <c r="F60" t="s">
        <v>132</v>
      </c>
      <c r="G60">
        <v>8.5</v>
      </c>
      <c r="H60">
        <v>99</v>
      </c>
      <c r="I60" t="s">
        <v>255</v>
      </c>
      <c r="J60" s="3">
        <v>182312</v>
      </c>
      <c r="K60" s="3" t="str">
        <f t="shared" si="4"/>
        <v>Must Watch</v>
      </c>
      <c r="L60" s="3" t="str">
        <f t="shared" si="1"/>
        <v>Don't Watch</v>
      </c>
      <c r="M60" s="3"/>
      <c r="N60" s="3" t="str">
        <f t="shared" si="3"/>
        <v>Maybe</v>
      </c>
      <c r="O60" t="s">
        <v>258</v>
      </c>
      <c r="P60" t="b">
        <f t="shared" si="5"/>
        <v>0</v>
      </c>
    </row>
    <row r="61" spans="1:16" x14ac:dyDescent="0.25">
      <c r="A61">
        <v>60</v>
      </c>
      <c r="B61" t="s">
        <v>259</v>
      </c>
      <c r="C61">
        <v>-2020</v>
      </c>
      <c r="D61">
        <v>12</v>
      </c>
      <c r="E61" t="s">
        <v>260</v>
      </c>
      <c r="F61" t="s">
        <v>42</v>
      </c>
      <c r="G61">
        <v>8.4</v>
      </c>
      <c r="H61">
        <v>90</v>
      </c>
      <c r="I61" t="s">
        <v>261</v>
      </c>
      <c r="J61" s="3">
        <v>88965</v>
      </c>
      <c r="K61" s="3" t="str">
        <f t="shared" si="4"/>
        <v>Must Watch</v>
      </c>
      <c r="L61" s="3" t="str">
        <f t="shared" si="1"/>
        <v>Don't Watch</v>
      </c>
      <c r="M61" s="3"/>
      <c r="N61" s="3" t="str">
        <f t="shared" si="3"/>
        <v>Maybe</v>
      </c>
      <c r="P61" t="b">
        <f t="shared" si="5"/>
        <v>0</v>
      </c>
    </row>
    <row r="62" spans="1:16" x14ac:dyDescent="0.25">
      <c r="A62">
        <v>61</v>
      </c>
      <c r="B62" t="s">
        <v>262</v>
      </c>
      <c r="C62">
        <v>-2018</v>
      </c>
      <c r="D62">
        <v>15</v>
      </c>
      <c r="E62" t="s">
        <v>263</v>
      </c>
      <c r="F62" t="s">
        <v>20</v>
      </c>
      <c r="G62">
        <v>8.4</v>
      </c>
      <c r="H62">
        <v>75</v>
      </c>
      <c r="I62" t="s">
        <v>264</v>
      </c>
      <c r="J62" s="3">
        <v>85804</v>
      </c>
      <c r="K62" s="3" t="str">
        <f t="shared" si="4"/>
        <v>Must Watch</v>
      </c>
      <c r="L62" s="3" t="str">
        <f t="shared" si="1"/>
        <v>Don't Watch</v>
      </c>
      <c r="M62" s="3"/>
      <c r="N62" s="3" t="str">
        <f t="shared" si="3"/>
        <v>Maybe</v>
      </c>
      <c r="O62" t="s">
        <v>265</v>
      </c>
      <c r="P62" t="b">
        <f t="shared" si="5"/>
        <v>0</v>
      </c>
    </row>
    <row r="63" spans="1:16" x14ac:dyDescent="0.25">
      <c r="A63">
        <v>62</v>
      </c>
      <c r="B63" t="s">
        <v>266</v>
      </c>
      <c r="C63" t="s">
        <v>267</v>
      </c>
      <c r="D63">
        <v>15</v>
      </c>
      <c r="E63" t="s">
        <v>268</v>
      </c>
      <c r="F63" t="s">
        <v>144</v>
      </c>
      <c r="G63">
        <v>8.4</v>
      </c>
      <c r="H63">
        <v>59</v>
      </c>
      <c r="I63" t="s">
        <v>269</v>
      </c>
      <c r="J63" s="3">
        <v>1207441</v>
      </c>
      <c r="K63" s="3" t="str">
        <f t="shared" si="4"/>
        <v>Must Watch</v>
      </c>
      <c r="L63" s="3" t="str">
        <f t="shared" si="1"/>
        <v>Don't Watch</v>
      </c>
      <c r="M63" s="3"/>
      <c r="N63" s="3" t="str">
        <f t="shared" si="3"/>
        <v>Maybe</v>
      </c>
      <c r="O63" t="s">
        <v>270</v>
      </c>
      <c r="P63" t="b">
        <f t="shared" si="5"/>
        <v>0</v>
      </c>
    </row>
    <row r="64" spans="1:16" x14ac:dyDescent="0.25">
      <c r="A64">
        <v>63</v>
      </c>
      <c r="B64">
        <v>96</v>
      </c>
      <c r="C64" t="s">
        <v>271</v>
      </c>
      <c r="D64" t="s">
        <v>74</v>
      </c>
      <c r="E64" t="s">
        <v>272</v>
      </c>
      <c r="F64" t="s">
        <v>78</v>
      </c>
      <c r="G64">
        <v>8.4</v>
      </c>
      <c r="I64" t="s">
        <v>273</v>
      </c>
      <c r="J64" s="3">
        <v>29086</v>
      </c>
      <c r="K64" s="3" t="str">
        <f t="shared" si="4"/>
        <v>Must Watch</v>
      </c>
      <c r="L64" s="3" t="str">
        <f t="shared" si="1"/>
        <v>Don't Watch</v>
      </c>
      <c r="M64" s="3"/>
      <c r="N64" s="3" t="str">
        <f t="shared" si="3"/>
        <v>Maybe</v>
      </c>
      <c r="P64" t="b">
        <f t="shared" si="5"/>
        <v>1</v>
      </c>
    </row>
    <row r="65" spans="1:16" x14ac:dyDescent="0.25">
      <c r="A65">
        <v>64</v>
      </c>
      <c r="B65" t="s">
        <v>274</v>
      </c>
      <c r="C65">
        <v>-2016</v>
      </c>
      <c r="D65" t="s">
        <v>30</v>
      </c>
      <c r="E65" t="s">
        <v>171</v>
      </c>
      <c r="F65" t="s">
        <v>275</v>
      </c>
      <c r="G65">
        <v>8.4</v>
      </c>
      <c r="H65">
        <v>79</v>
      </c>
      <c r="I65" t="s">
        <v>276</v>
      </c>
      <c r="J65" s="3">
        <v>254299</v>
      </c>
      <c r="K65" s="3" t="str">
        <f t="shared" si="4"/>
        <v>Must Watch</v>
      </c>
      <c r="L65" s="3" t="str">
        <f t="shared" si="1"/>
        <v>Don't Watch</v>
      </c>
      <c r="M65" s="3"/>
      <c r="N65" s="3" t="str">
        <f t="shared" si="3"/>
        <v>Maybe</v>
      </c>
      <c r="O65" t="s">
        <v>277</v>
      </c>
      <c r="P65" t="b">
        <f t="shared" si="5"/>
        <v>0</v>
      </c>
    </row>
    <row r="66" spans="1:16" x14ac:dyDescent="0.25">
      <c r="A66">
        <v>65</v>
      </c>
      <c r="B66" t="s">
        <v>278</v>
      </c>
      <c r="C66">
        <v>-2018</v>
      </c>
      <c r="D66" t="s">
        <v>74</v>
      </c>
      <c r="E66" t="s">
        <v>232</v>
      </c>
      <c r="F66" t="s">
        <v>279</v>
      </c>
      <c r="G66">
        <v>8.4</v>
      </c>
      <c r="H66">
        <v>87</v>
      </c>
      <c r="I66" t="s">
        <v>280</v>
      </c>
      <c r="J66" s="3">
        <v>498204</v>
      </c>
      <c r="K66" s="3" t="str">
        <f t="shared" si="4"/>
        <v>Must Watch</v>
      </c>
      <c r="L66" s="3" t="str">
        <f t="shared" si="1"/>
        <v>Don't Watch</v>
      </c>
      <c r="M66" s="3"/>
      <c r="N66" s="3" t="str">
        <f t="shared" si="3"/>
        <v>Maybe</v>
      </c>
      <c r="O66" t="s">
        <v>281</v>
      </c>
      <c r="P66" t="b">
        <f t="shared" si="5"/>
        <v>0</v>
      </c>
    </row>
    <row r="67" spans="1:16" x14ac:dyDescent="0.25">
      <c r="A67">
        <v>66</v>
      </c>
      <c r="B67" t="s">
        <v>282</v>
      </c>
      <c r="C67">
        <v>-2019</v>
      </c>
      <c r="D67" t="s">
        <v>30</v>
      </c>
      <c r="E67" t="s">
        <v>283</v>
      </c>
      <c r="F67" t="s">
        <v>37</v>
      </c>
      <c r="G67">
        <v>8.4</v>
      </c>
      <c r="H67">
        <v>78</v>
      </c>
      <c r="I67" t="s">
        <v>284</v>
      </c>
      <c r="J67" s="3">
        <v>1067806</v>
      </c>
      <c r="K67" s="3" t="str">
        <f t="shared" si="4"/>
        <v>Must Watch</v>
      </c>
      <c r="L67" s="3" t="str">
        <f t="shared" ref="L67:L130" si="6">IF(G67=9,"Must Watch",IF(G67=8,"Maybe","Don't Watch"))</f>
        <v>Don't Watch</v>
      </c>
      <c r="M67" s="3"/>
      <c r="N67" s="3" t="str">
        <f t="shared" ref="N67:N130" si="7">IF(I67="Billy Wilder", "Must Watch", IF(I67="John Ford", "Watch", "Maybe"))</f>
        <v>Maybe</v>
      </c>
      <c r="O67" t="s">
        <v>285</v>
      </c>
      <c r="P67" t="b">
        <f t="shared" ref="P67:P130" si="8">ISNUMBER(B:B)</f>
        <v>0</v>
      </c>
    </row>
    <row r="68" spans="1:16" x14ac:dyDescent="0.25">
      <c r="A68">
        <v>67</v>
      </c>
      <c r="B68" t="s">
        <v>286</v>
      </c>
      <c r="C68">
        <v>-2018</v>
      </c>
      <c r="D68" t="s">
        <v>30</v>
      </c>
      <c r="E68" t="s">
        <v>287</v>
      </c>
      <c r="F68" t="s">
        <v>64</v>
      </c>
      <c r="G68">
        <v>8.4</v>
      </c>
      <c r="H68">
        <v>68</v>
      </c>
      <c r="I68" t="s">
        <v>284</v>
      </c>
      <c r="J68" s="3">
        <v>1027286</v>
      </c>
      <c r="K68" s="3" t="str">
        <f t="shared" si="4"/>
        <v>Must Watch</v>
      </c>
      <c r="L68" s="3" t="str">
        <f t="shared" si="6"/>
        <v>Don't Watch</v>
      </c>
      <c r="M68" s="3"/>
      <c r="N68" s="3" t="str">
        <f t="shared" si="7"/>
        <v>Maybe</v>
      </c>
      <c r="O68" t="s">
        <v>288</v>
      </c>
      <c r="P68" t="b">
        <f t="shared" si="8"/>
        <v>0</v>
      </c>
    </row>
    <row r="69" spans="1:16" x14ac:dyDescent="0.25">
      <c r="A69">
        <v>68</v>
      </c>
      <c r="B69" t="s">
        <v>289</v>
      </c>
      <c r="C69" t="s">
        <v>290</v>
      </c>
      <c r="D69" t="s">
        <v>74</v>
      </c>
      <c r="E69" t="s">
        <v>291</v>
      </c>
      <c r="F69" t="s">
        <v>292</v>
      </c>
      <c r="G69">
        <v>8.4</v>
      </c>
      <c r="H69">
        <v>81</v>
      </c>
      <c r="I69" t="s">
        <v>293</v>
      </c>
      <c r="J69" s="3">
        <v>483043</v>
      </c>
      <c r="K69" s="3" t="str">
        <f t="shared" si="4"/>
        <v>Must Watch</v>
      </c>
      <c r="L69" s="3" t="str">
        <f t="shared" si="6"/>
        <v>Don't Watch</v>
      </c>
      <c r="M69" s="3"/>
      <c r="N69" s="3" t="str">
        <f t="shared" si="7"/>
        <v>Maybe</v>
      </c>
      <c r="O69" t="s">
        <v>294</v>
      </c>
      <c r="P69" t="b">
        <f t="shared" si="8"/>
        <v>0</v>
      </c>
    </row>
    <row r="70" spans="1:16" x14ac:dyDescent="0.25">
      <c r="A70">
        <v>69</v>
      </c>
      <c r="B70" t="s">
        <v>295</v>
      </c>
      <c r="C70">
        <v>-2012</v>
      </c>
      <c r="D70">
        <v>18</v>
      </c>
      <c r="E70" t="s">
        <v>237</v>
      </c>
      <c r="F70" t="s">
        <v>296</v>
      </c>
      <c r="G70">
        <v>8.4</v>
      </c>
      <c r="H70">
        <v>81</v>
      </c>
      <c r="I70" t="s">
        <v>60</v>
      </c>
      <c r="J70" s="3">
        <v>1505535</v>
      </c>
      <c r="K70" s="3" t="str">
        <f t="shared" si="4"/>
        <v>Must Watch</v>
      </c>
      <c r="L70" s="3" t="str">
        <f t="shared" si="6"/>
        <v>Don't Watch</v>
      </c>
      <c r="M70" s="3"/>
      <c r="N70" s="3" t="str">
        <f t="shared" si="7"/>
        <v>Maybe</v>
      </c>
      <c r="O70" t="s">
        <v>297</v>
      </c>
      <c r="P70" t="b">
        <f t="shared" si="8"/>
        <v>0</v>
      </c>
    </row>
    <row r="71" spans="1:16" x14ac:dyDescent="0.25">
      <c r="A71">
        <v>70</v>
      </c>
      <c r="B71" t="s">
        <v>298</v>
      </c>
      <c r="C71">
        <v>-2012</v>
      </c>
      <c r="D71" t="s">
        <v>30</v>
      </c>
      <c r="E71" t="s">
        <v>55</v>
      </c>
      <c r="F71" t="s">
        <v>109</v>
      </c>
      <c r="G71">
        <v>8.4</v>
      </c>
      <c r="H71">
        <v>78</v>
      </c>
      <c r="I71" t="s">
        <v>33</v>
      </c>
      <c r="J71" s="3">
        <v>1662365</v>
      </c>
      <c r="K71" s="3" t="str">
        <f t="shared" ref="K71:K134" si="9">IF(G71&lt;7.9, "Don't Watch", IF(G71&gt;8, "Must Watch", "Maybe"))</f>
        <v>Must Watch</v>
      </c>
      <c r="L71" s="3" t="str">
        <f t="shared" si="6"/>
        <v>Don't Watch</v>
      </c>
      <c r="M71" s="3"/>
      <c r="N71" s="3" t="str">
        <f t="shared" si="7"/>
        <v>Maybe</v>
      </c>
      <c r="O71" t="s">
        <v>299</v>
      </c>
      <c r="P71" t="b">
        <f t="shared" si="8"/>
        <v>0</v>
      </c>
    </row>
    <row r="72" spans="1:16" x14ac:dyDescent="0.25">
      <c r="A72">
        <v>71</v>
      </c>
      <c r="B72" t="s">
        <v>300</v>
      </c>
      <c r="C72">
        <v>-2021</v>
      </c>
      <c r="D72">
        <v>12</v>
      </c>
      <c r="E72" t="s">
        <v>31</v>
      </c>
      <c r="F72" t="s">
        <v>144</v>
      </c>
      <c r="G72">
        <v>8.4</v>
      </c>
      <c r="I72" t="s">
        <v>301</v>
      </c>
      <c r="J72" s="3">
        <v>35266</v>
      </c>
      <c r="K72" s="3" t="str">
        <f t="shared" si="9"/>
        <v>Must Watch</v>
      </c>
      <c r="L72" s="3" t="str">
        <f t="shared" si="6"/>
        <v>Don't Watch</v>
      </c>
      <c r="M72" s="3"/>
      <c r="N72" s="3" t="str">
        <f t="shared" si="7"/>
        <v>Maybe</v>
      </c>
      <c r="P72" t="b">
        <f t="shared" si="8"/>
        <v>0</v>
      </c>
    </row>
    <row r="73" spans="1:16" x14ac:dyDescent="0.25">
      <c r="A73">
        <v>72</v>
      </c>
      <c r="B73" t="s">
        <v>302</v>
      </c>
      <c r="C73">
        <v>-2009</v>
      </c>
      <c r="D73" t="s">
        <v>30</v>
      </c>
      <c r="E73" t="s">
        <v>303</v>
      </c>
      <c r="F73" t="s">
        <v>304</v>
      </c>
      <c r="G73">
        <v>8.4</v>
      </c>
      <c r="H73">
        <v>67</v>
      </c>
      <c r="I73" t="s">
        <v>305</v>
      </c>
      <c r="J73" s="3">
        <v>388873</v>
      </c>
      <c r="K73" s="3" t="str">
        <f t="shared" si="9"/>
        <v>Must Watch</v>
      </c>
      <c r="L73" s="3" t="str">
        <f t="shared" si="6"/>
        <v>Don't Watch</v>
      </c>
      <c r="M73" s="3"/>
      <c r="N73" s="3" t="str">
        <f t="shared" si="7"/>
        <v>Maybe</v>
      </c>
      <c r="O73" t="s">
        <v>306</v>
      </c>
      <c r="P73" t="b">
        <f t="shared" si="8"/>
        <v>0</v>
      </c>
    </row>
    <row r="74" spans="1:16" x14ac:dyDescent="0.25">
      <c r="A74">
        <v>73</v>
      </c>
      <c r="B74" t="s">
        <v>307</v>
      </c>
      <c r="C74">
        <v>-2021</v>
      </c>
      <c r="D74" t="s">
        <v>308</v>
      </c>
      <c r="E74" t="s">
        <v>309</v>
      </c>
      <c r="F74" t="s">
        <v>310</v>
      </c>
      <c r="G74">
        <v>8.4</v>
      </c>
      <c r="I74" t="s">
        <v>311</v>
      </c>
      <c r="J74" s="3">
        <v>117759</v>
      </c>
      <c r="K74" s="3" t="str">
        <f t="shared" si="9"/>
        <v>Must Watch</v>
      </c>
      <c r="L74" s="3" t="str">
        <f t="shared" si="6"/>
        <v>Don't Watch</v>
      </c>
      <c r="M74" s="3"/>
      <c r="N74" s="3" t="str">
        <f t="shared" si="7"/>
        <v>Maybe</v>
      </c>
      <c r="P74" t="b">
        <f t="shared" si="8"/>
        <v>0</v>
      </c>
    </row>
    <row r="75" spans="1:16" x14ac:dyDescent="0.25">
      <c r="A75">
        <v>74</v>
      </c>
      <c r="B75" t="s">
        <v>312</v>
      </c>
      <c r="C75">
        <v>-2008</v>
      </c>
      <c r="D75" t="s">
        <v>49</v>
      </c>
      <c r="E75" t="s">
        <v>313</v>
      </c>
      <c r="F75" t="s">
        <v>120</v>
      </c>
      <c r="G75">
        <v>8.4</v>
      </c>
      <c r="H75">
        <v>95</v>
      </c>
      <c r="I75" t="s">
        <v>314</v>
      </c>
      <c r="J75" s="3">
        <v>1090345</v>
      </c>
      <c r="K75" s="3" t="str">
        <f t="shared" si="9"/>
        <v>Must Watch</v>
      </c>
      <c r="L75" s="3" t="str">
        <f t="shared" si="6"/>
        <v>Don't Watch</v>
      </c>
      <c r="M75" s="3"/>
      <c r="N75" s="3" t="str">
        <f t="shared" si="7"/>
        <v>Maybe</v>
      </c>
      <c r="O75" t="s">
        <v>315</v>
      </c>
      <c r="P75" t="b">
        <f t="shared" si="8"/>
        <v>0</v>
      </c>
    </row>
    <row r="76" spans="1:16" x14ac:dyDescent="0.25">
      <c r="A76">
        <v>75</v>
      </c>
      <c r="B76" t="s">
        <v>316</v>
      </c>
      <c r="C76">
        <v>-2006</v>
      </c>
      <c r="D76">
        <v>15</v>
      </c>
      <c r="E76" t="s">
        <v>139</v>
      </c>
      <c r="F76" t="s">
        <v>317</v>
      </c>
      <c r="G76">
        <v>8.4</v>
      </c>
      <c r="H76">
        <v>89</v>
      </c>
      <c r="I76" t="s">
        <v>318</v>
      </c>
      <c r="J76" s="3">
        <v>384675</v>
      </c>
      <c r="K76" s="3" t="str">
        <f t="shared" si="9"/>
        <v>Must Watch</v>
      </c>
      <c r="L76" s="3" t="str">
        <f t="shared" si="6"/>
        <v>Don't Watch</v>
      </c>
      <c r="M76" s="3"/>
      <c r="N76" s="3" t="str">
        <f t="shared" si="7"/>
        <v>Maybe</v>
      </c>
      <c r="O76" t="s">
        <v>319</v>
      </c>
      <c r="P76" t="b">
        <f t="shared" si="8"/>
        <v>0</v>
      </c>
    </row>
    <row r="77" spans="1:16" x14ac:dyDescent="0.25">
      <c r="A77">
        <v>76</v>
      </c>
      <c r="B77" t="s">
        <v>320</v>
      </c>
      <c r="C77">
        <v>-2003</v>
      </c>
      <c r="D77">
        <v>18</v>
      </c>
      <c r="E77" t="s">
        <v>321</v>
      </c>
      <c r="F77" t="s">
        <v>152</v>
      </c>
      <c r="G77">
        <v>8.4</v>
      </c>
      <c r="H77">
        <v>77</v>
      </c>
      <c r="I77" t="s">
        <v>322</v>
      </c>
      <c r="J77" s="3">
        <v>565266</v>
      </c>
      <c r="K77" s="3" t="str">
        <f t="shared" si="9"/>
        <v>Must Watch</v>
      </c>
      <c r="L77" s="3" t="str">
        <f t="shared" si="6"/>
        <v>Don't Watch</v>
      </c>
      <c r="M77" s="3"/>
      <c r="N77" s="3" t="str">
        <f t="shared" si="7"/>
        <v>Maybe</v>
      </c>
      <c r="O77" t="s">
        <v>323</v>
      </c>
      <c r="P77" t="b">
        <f t="shared" si="8"/>
        <v>0</v>
      </c>
    </row>
    <row r="78" spans="1:16" x14ac:dyDescent="0.25">
      <c r="A78">
        <v>77</v>
      </c>
      <c r="B78" t="s">
        <v>324</v>
      </c>
      <c r="C78">
        <v>-2000</v>
      </c>
      <c r="D78">
        <v>15</v>
      </c>
      <c r="E78" t="s">
        <v>325</v>
      </c>
      <c r="F78" t="s">
        <v>246</v>
      </c>
      <c r="G78">
        <v>8.4</v>
      </c>
      <c r="H78">
        <v>80</v>
      </c>
      <c r="I78" t="s">
        <v>33</v>
      </c>
      <c r="J78" s="3">
        <v>1212647</v>
      </c>
      <c r="K78" s="3" t="str">
        <f t="shared" si="9"/>
        <v>Must Watch</v>
      </c>
      <c r="L78" s="3" t="str">
        <f t="shared" si="6"/>
        <v>Don't Watch</v>
      </c>
      <c r="M78" s="3"/>
      <c r="N78" s="3" t="str">
        <f t="shared" si="7"/>
        <v>Maybe</v>
      </c>
      <c r="O78" t="s">
        <v>326</v>
      </c>
      <c r="P78" t="b">
        <f t="shared" si="8"/>
        <v>0</v>
      </c>
    </row>
    <row r="79" spans="1:16" x14ac:dyDescent="0.25">
      <c r="A79">
        <v>78</v>
      </c>
      <c r="B79" t="s">
        <v>327</v>
      </c>
      <c r="C79">
        <v>-1999</v>
      </c>
      <c r="D79">
        <v>18</v>
      </c>
      <c r="E79" t="s">
        <v>268</v>
      </c>
      <c r="F79" t="s">
        <v>20</v>
      </c>
      <c r="G79">
        <v>8.4</v>
      </c>
      <c r="H79">
        <v>84</v>
      </c>
      <c r="I79" t="s">
        <v>328</v>
      </c>
      <c r="J79" s="3">
        <v>1135911</v>
      </c>
      <c r="K79" s="3" t="str">
        <f t="shared" si="9"/>
        <v>Must Watch</v>
      </c>
      <c r="L79" s="3" t="str">
        <f t="shared" si="6"/>
        <v>Don't Watch</v>
      </c>
      <c r="M79" s="3"/>
      <c r="N79" s="3" t="str">
        <f t="shared" si="7"/>
        <v>Maybe</v>
      </c>
      <c r="O79" t="s">
        <v>329</v>
      </c>
      <c r="P79" t="b">
        <f t="shared" si="8"/>
        <v>0</v>
      </c>
    </row>
    <row r="80" spans="1:16" x14ac:dyDescent="0.25">
      <c r="A80">
        <v>79</v>
      </c>
      <c r="B80" t="s">
        <v>330</v>
      </c>
      <c r="C80">
        <v>-1997</v>
      </c>
      <c r="D80" t="s">
        <v>74</v>
      </c>
      <c r="E80" t="s">
        <v>331</v>
      </c>
      <c r="F80" t="s">
        <v>332</v>
      </c>
      <c r="G80">
        <v>8.4</v>
      </c>
      <c r="H80">
        <v>76</v>
      </c>
      <c r="I80" t="s">
        <v>121</v>
      </c>
      <c r="J80" s="3">
        <v>384644</v>
      </c>
      <c r="K80" s="3" t="str">
        <f t="shared" si="9"/>
        <v>Must Watch</v>
      </c>
      <c r="L80" s="3" t="str">
        <f t="shared" si="6"/>
        <v>Don't Watch</v>
      </c>
      <c r="M80" s="3"/>
      <c r="N80" s="3" t="str">
        <f t="shared" si="7"/>
        <v>Maybe</v>
      </c>
      <c r="O80" t="s">
        <v>333</v>
      </c>
      <c r="P80" t="b">
        <f t="shared" si="8"/>
        <v>0</v>
      </c>
    </row>
    <row r="81" spans="1:16" x14ac:dyDescent="0.25">
      <c r="A81">
        <v>80</v>
      </c>
      <c r="B81" t="s">
        <v>334</v>
      </c>
      <c r="C81">
        <v>-1995</v>
      </c>
      <c r="D81">
        <v>15</v>
      </c>
      <c r="E81" t="s">
        <v>75</v>
      </c>
      <c r="F81" t="s">
        <v>42</v>
      </c>
      <c r="G81">
        <v>8.4</v>
      </c>
      <c r="H81">
        <v>68</v>
      </c>
      <c r="I81" t="s">
        <v>335</v>
      </c>
      <c r="J81" s="3">
        <v>1021071</v>
      </c>
      <c r="K81" s="3" t="str">
        <f t="shared" si="9"/>
        <v>Must Watch</v>
      </c>
      <c r="L81" s="3" t="str">
        <f t="shared" si="6"/>
        <v>Don't Watch</v>
      </c>
      <c r="M81" s="3"/>
      <c r="N81" s="3" t="str">
        <f t="shared" si="7"/>
        <v>Maybe</v>
      </c>
      <c r="O81" t="s">
        <v>336</v>
      </c>
      <c r="P81" t="b">
        <f t="shared" si="8"/>
        <v>0</v>
      </c>
    </row>
    <row r="82" spans="1:16" x14ac:dyDescent="0.25">
      <c r="A82">
        <v>81</v>
      </c>
      <c r="B82" t="s">
        <v>337</v>
      </c>
      <c r="C82">
        <v>-1986</v>
      </c>
      <c r="D82" t="s">
        <v>49</v>
      </c>
      <c r="E82" t="s">
        <v>139</v>
      </c>
      <c r="F82" t="s">
        <v>64</v>
      </c>
      <c r="G82">
        <v>8.4</v>
      </c>
      <c r="H82">
        <v>84</v>
      </c>
      <c r="I82" t="s">
        <v>140</v>
      </c>
      <c r="J82" s="3">
        <v>703019</v>
      </c>
      <c r="K82" s="3" t="str">
        <f t="shared" si="9"/>
        <v>Must Watch</v>
      </c>
      <c r="L82" s="3" t="str">
        <f t="shared" si="6"/>
        <v>Don't Watch</v>
      </c>
      <c r="M82" s="3"/>
      <c r="N82" s="3" t="str">
        <f t="shared" si="7"/>
        <v>Maybe</v>
      </c>
      <c r="O82" t="s">
        <v>338</v>
      </c>
      <c r="P82" t="b">
        <f t="shared" si="8"/>
        <v>0</v>
      </c>
    </row>
    <row r="83" spans="1:16" x14ac:dyDescent="0.25">
      <c r="A83">
        <v>82</v>
      </c>
      <c r="B83" t="s">
        <v>339</v>
      </c>
      <c r="C83">
        <v>-1984</v>
      </c>
      <c r="D83" t="s">
        <v>74</v>
      </c>
      <c r="E83" t="s">
        <v>260</v>
      </c>
      <c r="F83" t="s">
        <v>194</v>
      </c>
      <c r="G83">
        <v>8.4</v>
      </c>
      <c r="H83">
        <v>88</v>
      </c>
      <c r="I83" t="s">
        <v>105</v>
      </c>
      <c r="J83" s="3">
        <v>395117</v>
      </c>
      <c r="K83" s="3" t="str">
        <f t="shared" si="9"/>
        <v>Must Watch</v>
      </c>
      <c r="L83" s="3" t="str">
        <f t="shared" si="6"/>
        <v>Don't Watch</v>
      </c>
      <c r="M83" s="3"/>
      <c r="N83" s="3" t="str">
        <f t="shared" si="7"/>
        <v>Maybe</v>
      </c>
      <c r="O83" t="s">
        <v>340</v>
      </c>
      <c r="P83" t="b">
        <f t="shared" si="8"/>
        <v>0</v>
      </c>
    </row>
    <row r="84" spans="1:16" x14ac:dyDescent="0.25">
      <c r="A84">
        <v>83</v>
      </c>
      <c r="B84" t="s">
        <v>341</v>
      </c>
      <c r="C84">
        <v>-1981</v>
      </c>
      <c r="D84" t="s">
        <v>155</v>
      </c>
      <c r="E84" t="s">
        <v>342</v>
      </c>
      <c r="F84" t="s">
        <v>343</v>
      </c>
      <c r="G84">
        <v>8.4</v>
      </c>
      <c r="H84">
        <v>85</v>
      </c>
      <c r="I84" t="s">
        <v>43</v>
      </c>
      <c r="J84" s="3">
        <v>947846</v>
      </c>
      <c r="K84" s="3" t="str">
        <f t="shared" si="9"/>
        <v>Must Watch</v>
      </c>
      <c r="L84" s="3" t="str">
        <f t="shared" si="6"/>
        <v>Don't Watch</v>
      </c>
      <c r="M84" s="3"/>
      <c r="N84" s="3" t="str">
        <f t="shared" si="7"/>
        <v>Maybe</v>
      </c>
      <c r="O84" t="s">
        <v>344</v>
      </c>
      <c r="P84" t="b">
        <f t="shared" si="8"/>
        <v>0</v>
      </c>
    </row>
    <row r="85" spans="1:16" x14ac:dyDescent="0.25">
      <c r="A85">
        <v>84</v>
      </c>
      <c r="B85" t="s">
        <v>345</v>
      </c>
      <c r="C85">
        <v>-1981</v>
      </c>
      <c r="D85" t="s">
        <v>236</v>
      </c>
      <c r="E85" t="s">
        <v>287</v>
      </c>
      <c r="F85" t="s">
        <v>124</v>
      </c>
      <c r="G85">
        <v>8.4</v>
      </c>
      <c r="H85">
        <v>86</v>
      </c>
      <c r="I85" t="s">
        <v>346</v>
      </c>
      <c r="J85" s="3">
        <v>247943</v>
      </c>
      <c r="K85" s="3" t="str">
        <f t="shared" si="9"/>
        <v>Must Watch</v>
      </c>
      <c r="L85" s="3" t="str">
        <f t="shared" si="6"/>
        <v>Don't Watch</v>
      </c>
      <c r="M85" s="3"/>
      <c r="N85" s="3" t="str">
        <f t="shared" si="7"/>
        <v>Maybe</v>
      </c>
      <c r="O85" t="s">
        <v>347</v>
      </c>
      <c r="P85" t="b">
        <f t="shared" si="8"/>
        <v>0</v>
      </c>
    </row>
    <row r="86" spans="1:16" x14ac:dyDescent="0.25">
      <c r="A86">
        <v>85</v>
      </c>
      <c r="B86" t="s">
        <v>348</v>
      </c>
      <c r="C86">
        <v>-1980</v>
      </c>
      <c r="D86">
        <v>15</v>
      </c>
      <c r="E86" t="s">
        <v>349</v>
      </c>
      <c r="F86" t="s">
        <v>350</v>
      </c>
      <c r="G86">
        <v>8.4</v>
      </c>
      <c r="H86">
        <v>66</v>
      </c>
      <c r="I86" t="s">
        <v>351</v>
      </c>
      <c r="J86" s="3">
        <v>991472</v>
      </c>
      <c r="K86" s="3" t="str">
        <f t="shared" si="9"/>
        <v>Must Watch</v>
      </c>
      <c r="L86" s="3" t="str">
        <f t="shared" si="6"/>
        <v>Don't Watch</v>
      </c>
      <c r="M86" s="3"/>
      <c r="N86" s="3" t="str">
        <f t="shared" si="7"/>
        <v>Maybe</v>
      </c>
      <c r="O86" t="s">
        <v>352</v>
      </c>
      <c r="P86" t="b">
        <f t="shared" si="8"/>
        <v>0</v>
      </c>
    </row>
    <row r="87" spans="1:16" x14ac:dyDescent="0.25">
      <c r="A87">
        <v>86</v>
      </c>
      <c r="B87" t="s">
        <v>353</v>
      </c>
      <c r="C87">
        <v>-1963</v>
      </c>
      <c r="D87">
        <v>12</v>
      </c>
      <c r="E87" t="s">
        <v>354</v>
      </c>
      <c r="F87" t="s">
        <v>56</v>
      </c>
      <c r="G87">
        <v>8.4</v>
      </c>
      <c r="H87">
        <v>90</v>
      </c>
      <c r="I87" t="s">
        <v>157</v>
      </c>
      <c r="J87" s="3">
        <v>43400</v>
      </c>
      <c r="K87" s="3" t="str">
        <f t="shared" si="9"/>
        <v>Must Watch</v>
      </c>
      <c r="L87" s="3" t="str">
        <f t="shared" si="6"/>
        <v>Don't Watch</v>
      </c>
      <c r="M87" s="3"/>
      <c r="N87" s="3" t="str">
        <f t="shared" si="7"/>
        <v>Maybe</v>
      </c>
      <c r="P87" t="b">
        <f t="shared" si="8"/>
        <v>0</v>
      </c>
    </row>
    <row r="88" spans="1:16" x14ac:dyDescent="0.25">
      <c r="A88">
        <v>87</v>
      </c>
      <c r="B88" t="s">
        <v>355</v>
      </c>
      <c r="C88">
        <v>-1964</v>
      </c>
      <c r="D88" t="s">
        <v>155</v>
      </c>
      <c r="E88" t="s">
        <v>356</v>
      </c>
      <c r="F88" t="s">
        <v>357</v>
      </c>
      <c r="G88">
        <v>8.4</v>
      </c>
      <c r="H88">
        <v>97</v>
      </c>
      <c r="I88" t="s">
        <v>351</v>
      </c>
      <c r="J88" s="3">
        <v>482516</v>
      </c>
      <c r="K88" s="3" t="str">
        <f t="shared" si="9"/>
        <v>Must Watch</v>
      </c>
      <c r="L88" s="3" t="str">
        <f t="shared" si="6"/>
        <v>Don't Watch</v>
      </c>
      <c r="M88" s="3"/>
      <c r="N88" s="3" t="str">
        <f t="shared" si="7"/>
        <v>Maybe</v>
      </c>
      <c r="O88" t="s">
        <v>358</v>
      </c>
      <c r="P88" t="b">
        <f t="shared" si="8"/>
        <v>0</v>
      </c>
    </row>
    <row r="89" spans="1:16" x14ac:dyDescent="0.25">
      <c r="A89">
        <v>88</v>
      </c>
      <c r="B89" t="s">
        <v>359</v>
      </c>
      <c r="C89">
        <v>-1957</v>
      </c>
      <c r="D89" t="s">
        <v>49</v>
      </c>
      <c r="E89" t="s">
        <v>131</v>
      </c>
      <c r="F89" t="s">
        <v>56</v>
      </c>
      <c r="G89">
        <v>8.4</v>
      </c>
      <c r="I89" t="s">
        <v>360</v>
      </c>
      <c r="J89" s="3">
        <v>122776</v>
      </c>
      <c r="K89" s="3" t="str">
        <f t="shared" si="9"/>
        <v>Must Watch</v>
      </c>
      <c r="L89" s="3" t="str">
        <f t="shared" si="6"/>
        <v>Don't Watch</v>
      </c>
      <c r="M89" s="3"/>
      <c r="N89" s="3" t="str">
        <f t="shared" si="7"/>
        <v>Must Watch</v>
      </c>
      <c r="O89" t="s">
        <v>361</v>
      </c>
      <c r="P89" t="b">
        <f t="shared" si="8"/>
        <v>0</v>
      </c>
    </row>
    <row r="90" spans="1:16" x14ac:dyDescent="0.25">
      <c r="A90">
        <v>89</v>
      </c>
      <c r="B90" t="s">
        <v>362</v>
      </c>
      <c r="C90">
        <v>-1957</v>
      </c>
      <c r="D90" t="s">
        <v>74</v>
      </c>
      <c r="E90" t="s">
        <v>213</v>
      </c>
      <c r="F90" t="s">
        <v>124</v>
      </c>
      <c r="G90">
        <v>8.4</v>
      </c>
      <c r="H90">
        <v>90</v>
      </c>
      <c r="I90" t="s">
        <v>351</v>
      </c>
      <c r="J90" s="3">
        <v>194279</v>
      </c>
      <c r="K90" s="3" t="str">
        <f t="shared" si="9"/>
        <v>Must Watch</v>
      </c>
      <c r="L90" s="3" t="str">
        <f t="shared" si="6"/>
        <v>Don't Watch</v>
      </c>
      <c r="M90" s="3"/>
      <c r="N90" s="3" t="str">
        <f t="shared" si="7"/>
        <v>Maybe</v>
      </c>
      <c r="P90" t="b">
        <f t="shared" si="8"/>
        <v>0</v>
      </c>
    </row>
    <row r="91" spans="1:16" x14ac:dyDescent="0.25">
      <c r="A91">
        <v>90</v>
      </c>
      <c r="B91" t="s">
        <v>363</v>
      </c>
      <c r="C91">
        <v>-1950</v>
      </c>
      <c r="D91" t="s">
        <v>74</v>
      </c>
      <c r="E91" t="s">
        <v>209</v>
      </c>
      <c r="F91" t="s">
        <v>364</v>
      </c>
      <c r="G91">
        <v>8.4</v>
      </c>
      <c r="I91" t="s">
        <v>360</v>
      </c>
      <c r="J91" s="3">
        <v>218593</v>
      </c>
      <c r="K91" s="3" t="str">
        <f t="shared" si="9"/>
        <v>Must Watch</v>
      </c>
      <c r="L91" s="3" t="str">
        <f t="shared" si="6"/>
        <v>Don't Watch</v>
      </c>
      <c r="M91" s="3"/>
      <c r="N91" s="3" t="str">
        <f t="shared" si="7"/>
        <v>Must Watch</v>
      </c>
      <c r="P91" t="b">
        <f t="shared" si="8"/>
        <v>0</v>
      </c>
    </row>
    <row r="92" spans="1:16" x14ac:dyDescent="0.25">
      <c r="A92">
        <v>91</v>
      </c>
      <c r="B92" t="s">
        <v>365</v>
      </c>
      <c r="C92">
        <v>-1940</v>
      </c>
      <c r="D92" t="s">
        <v>49</v>
      </c>
      <c r="E92" t="s">
        <v>119</v>
      </c>
      <c r="F92" t="s">
        <v>366</v>
      </c>
      <c r="G92">
        <v>8.4</v>
      </c>
      <c r="I92" t="s">
        <v>255</v>
      </c>
      <c r="J92" s="3">
        <v>221031</v>
      </c>
      <c r="K92" s="3" t="str">
        <f t="shared" si="9"/>
        <v>Must Watch</v>
      </c>
      <c r="L92" s="3" t="str">
        <f t="shared" si="6"/>
        <v>Don't Watch</v>
      </c>
      <c r="M92" s="3"/>
      <c r="N92" s="3" t="str">
        <f t="shared" si="7"/>
        <v>Maybe</v>
      </c>
      <c r="O92" t="s">
        <v>367</v>
      </c>
      <c r="P92" t="b">
        <f t="shared" si="8"/>
        <v>0</v>
      </c>
    </row>
    <row r="93" spans="1:16" x14ac:dyDescent="0.25">
      <c r="A93">
        <v>92</v>
      </c>
      <c r="B93" t="s">
        <v>368</v>
      </c>
      <c r="C93">
        <v>-2018</v>
      </c>
      <c r="D93" t="s">
        <v>308</v>
      </c>
      <c r="E93" t="s">
        <v>303</v>
      </c>
      <c r="F93" t="s">
        <v>56</v>
      </c>
      <c r="G93">
        <v>8.3000000000000007</v>
      </c>
      <c r="I93" t="s">
        <v>369</v>
      </c>
      <c r="J93" s="3">
        <v>40045</v>
      </c>
      <c r="K93" s="3" t="str">
        <f t="shared" si="9"/>
        <v>Must Watch</v>
      </c>
      <c r="L93" s="3" t="str">
        <f t="shared" si="6"/>
        <v>Don't Watch</v>
      </c>
      <c r="M93" s="3"/>
      <c r="N93" s="3" t="str">
        <f t="shared" si="7"/>
        <v>Maybe</v>
      </c>
      <c r="P93" t="b">
        <f t="shared" si="8"/>
        <v>0</v>
      </c>
    </row>
    <row r="94" spans="1:16" x14ac:dyDescent="0.25">
      <c r="A94">
        <v>93</v>
      </c>
      <c r="B94" t="s">
        <v>370</v>
      </c>
      <c r="C94">
        <v>-2022</v>
      </c>
      <c r="D94">
        <v>15</v>
      </c>
      <c r="E94" t="s">
        <v>70</v>
      </c>
      <c r="F94" t="s">
        <v>371</v>
      </c>
      <c r="G94">
        <v>8.3000000000000007</v>
      </c>
      <c r="H94">
        <v>81</v>
      </c>
      <c r="I94" t="s">
        <v>372</v>
      </c>
      <c r="J94" s="3">
        <v>129321</v>
      </c>
      <c r="K94" s="3" t="str">
        <f t="shared" si="9"/>
        <v>Must Watch</v>
      </c>
      <c r="L94" s="3" t="str">
        <f t="shared" si="6"/>
        <v>Don't Watch</v>
      </c>
      <c r="M94" s="3"/>
      <c r="N94" s="3" t="str">
        <f t="shared" si="7"/>
        <v>Maybe</v>
      </c>
      <c r="P94" t="b">
        <f t="shared" si="8"/>
        <v>0</v>
      </c>
    </row>
    <row r="95" spans="1:16" x14ac:dyDescent="0.25">
      <c r="A95">
        <v>94</v>
      </c>
      <c r="B95" t="s">
        <v>373</v>
      </c>
      <c r="C95">
        <v>-2017</v>
      </c>
      <c r="D95">
        <v>15</v>
      </c>
      <c r="E95" t="s">
        <v>119</v>
      </c>
      <c r="F95" t="s">
        <v>42</v>
      </c>
      <c r="G95">
        <v>8.3000000000000007</v>
      </c>
      <c r="I95" t="s">
        <v>374</v>
      </c>
      <c r="J95" s="3">
        <v>39166</v>
      </c>
      <c r="K95" s="3" t="str">
        <f t="shared" si="9"/>
        <v>Must Watch</v>
      </c>
      <c r="L95" s="3" t="str">
        <f t="shared" si="6"/>
        <v>Don't Watch</v>
      </c>
      <c r="M95" s="3"/>
      <c r="N95" s="3" t="str">
        <f t="shared" si="7"/>
        <v>Maybe</v>
      </c>
      <c r="P95" t="b">
        <f t="shared" si="8"/>
        <v>0</v>
      </c>
    </row>
    <row r="96" spans="1:16" x14ac:dyDescent="0.25">
      <c r="A96">
        <v>95</v>
      </c>
      <c r="B96" t="s">
        <v>375</v>
      </c>
      <c r="C96">
        <v>-2016</v>
      </c>
      <c r="D96" t="s">
        <v>74</v>
      </c>
      <c r="E96" t="s">
        <v>376</v>
      </c>
      <c r="F96" t="s">
        <v>310</v>
      </c>
      <c r="G96">
        <v>8.3000000000000007</v>
      </c>
      <c r="I96" t="s">
        <v>377</v>
      </c>
      <c r="J96" s="3">
        <v>184574</v>
      </c>
      <c r="K96" s="3" t="str">
        <f t="shared" si="9"/>
        <v>Must Watch</v>
      </c>
      <c r="L96" s="3" t="str">
        <f t="shared" si="6"/>
        <v>Don't Watch</v>
      </c>
      <c r="M96" s="3"/>
      <c r="N96" s="3" t="str">
        <f t="shared" si="7"/>
        <v>Maybe</v>
      </c>
      <c r="O96" t="s">
        <v>378</v>
      </c>
      <c r="P96" t="b">
        <f t="shared" si="8"/>
        <v>0</v>
      </c>
    </row>
    <row r="97" spans="1:16" x14ac:dyDescent="0.25">
      <c r="A97">
        <v>96</v>
      </c>
      <c r="B97" t="s">
        <v>379</v>
      </c>
      <c r="C97">
        <v>-2013</v>
      </c>
      <c r="D97" t="s">
        <v>30</v>
      </c>
      <c r="E97" t="s">
        <v>260</v>
      </c>
      <c r="F97" t="s">
        <v>144</v>
      </c>
      <c r="G97">
        <v>8.3000000000000007</v>
      </c>
      <c r="I97" t="s">
        <v>301</v>
      </c>
      <c r="J97" s="3">
        <v>40642</v>
      </c>
      <c r="K97" s="3" t="str">
        <f t="shared" si="9"/>
        <v>Must Watch</v>
      </c>
      <c r="L97" s="3" t="str">
        <f t="shared" si="6"/>
        <v>Don't Watch</v>
      </c>
      <c r="M97" s="3"/>
      <c r="N97" s="3" t="str">
        <f t="shared" si="7"/>
        <v>Maybe</v>
      </c>
      <c r="P97" t="b">
        <f t="shared" si="8"/>
        <v>0</v>
      </c>
    </row>
    <row r="98" spans="1:16" x14ac:dyDescent="0.25">
      <c r="A98">
        <v>97</v>
      </c>
      <c r="B98" t="s">
        <v>380</v>
      </c>
      <c r="C98">
        <v>-2012</v>
      </c>
      <c r="D98">
        <v>15</v>
      </c>
      <c r="E98" t="s">
        <v>342</v>
      </c>
      <c r="F98" t="s">
        <v>20</v>
      </c>
      <c r="G98">
        <v>8.3000000000000007</v>
      </c>
      <c r="H98">
        <v>77</v>
      </c>
      <c r="I98" t="s">
        <v>381</v>
      </c>
      <c r="J98" s="3">
        <v>321794</v>
      </c>
      <c r="K98" s="3" t="str">
        <f t="shared" si="9"/>
        <v>Must Watch</v>
      </c>
      <c r="L98" s="3" t="str">
        <f t="shared" si="6"/>
        <v>Don't Watch</v>
      </c>
      <c r="M98" s="3"/>
      <c r="N98" s="3" t="str">
        <f t="shared" si="7"/>
        <v>Maybe</v>
      </c>
      <c r="O98" t="s">
        <v>382</v>
      </c>
      <c r="P98" t="b">
        <f t="shared" si="8"/>
        <v>0</v>
      </c>
    </row>
    <row r="99" spans="1:16" x14ac:dyDescent="0.25">
      <c r="A99">
        <v>98</v>
      </c>
      <c r="B99" t="s">
        <v>383</v>
      </c>
      <c r="C99">
        <v>-2011</v>
      </c>
      <c r="D99" t="s">
        <v>74</v>
      </c>
      <c r="E99" t="s">
        <v>384</v>
      </c>
      <c r="F99" t="s">
        <v>20</v>
      </c>
      <c r="G99">
        <v>8.3000000000000007</v>
      </c>
      <c r="H99">
        <v>95</v>
      </c>
      <c r="I99" t="s">
        <v>385</v>
      </c>
      <c r="J99" s="3">
        <v>242251</v>
      </c>
      <c r="K99" s="3" t="str">
        <f t="shared" si="9"/>
        <v>Must Watch</v>
      </c>
      <c r="L99" s="3" t="str">
        <f t="shared" si="6"/>
        <v>Don't Watch</v>
      </c>
      <c r="M99" s="3"/>
      <c r="N99" s="3" t="str">
        <f t="shared" si="7"/>
        <v>Maybe</v>
      </c>
      <c r="O99" t="s">
        <v>386</v>
      </c>
      <c r="P99" t="b">
        <f t="shared" si="8"/>
        <v>0</v>
      </c>
    </row>
    <row r="100" spans="1:16" x14ac:dyDescent="0.25">
      <c r="A100">
        <v>99</v>
      </c>
      <c r="B100" t="s">
        <v>387</v>
      </c>
      <c r="C100">
        <v>-2010</v>
      </c>
      <c r="D100">
        <v>15</v>
      </c>
      <c r="E100" t="s">
        <v>388</v>
      </c>
      <c r="F100" t="s">
        <v>389</v>
      </c>
      <c r="G100">
        <v>8.3000000000000007</v>
      </c>
      <c r="H100">
        <v>80</v>
      </c>
      <c r="I100" t="s">
        <v>390</v>
      </c>
      <c r="J100" s="3">
        <v>173341</v>
      </c>
      <c r="K100" s="3" t="str">
        <f t="shared" si="9"/>
        <v>Must Watch</v>
      </c>
      <c r="L100" s="3" t="str">
        <f t="shared" si="6"/>
        <v>Don't Watch</v>
      </c>
      <c r="M100" s="3"/>
      <c r="N100" s="3" t="str">
        <f t="shared" si="7"/>
        <v>Maybe</v>
      </c>
      <c r="O100" t="s">
        <v>391</v>
      </c>
      <c r="P100" t="b">
        <f t="shared" si="8"/>
        <v>0</v>
      </c>
    </row>
    <row r="101" spans="1:16" x14ac:dyDescent="0.25">
      <c r="A101">
        <v>100</v>
      </c>
      <c r="B101" t="s">
        <v>392</v>
      </c>
      <c r="C101">
        <v>-2021</v>
      </c>
      <c r="D101" t="s">
        <v>30</v>
      </c>
      <c r="E101" t="s">
        <v>63</v>
      </c>
      <c r="F101" t="s">
        <v>100</v>
      </c>
      <c r="G101">
        <v>8.3000000000000007</v>
      </c>
      <c r="H101">
        <v>71</v>
      </c>
      <c r="I101" t="s">
        <v>393</v>
      </c>
      <c r="J101" s="3">
        <v>664638</v>
      </c>
      <c r="K101" s="3" t="str">
        <f t="shared" si="9"/>
        <v>Must Watch</v>
      </c>
      <c r="L101" s="3" t="str">
        <f t="shared" si="6"/>
        <v>Don't Watch</v>
      </c>
      <c r="M101" s="3"/>
      <c r="N101" s="3" t="str">
        <f t="shared" si="7"/>
        <v>Maybe</v>
      </c>
      <c r="O101" t="s">
        <v>394</v>
      </c>
      <c r="P101" t="b">
        <f t="shared" si="8"/>
        <v>0</v>
      </c>
    </row>
    <row r="102" spans="1:16" x14ac:dyDescent="0.25">
      <c r="A102">
        <v>101</v>
      </c>
      <c r="B102" t="s">
        <v>395</v>
      </c>
      <c r="C102">
        <v>-2009</v>
      </c>
      <c r="D102" t="s">
        <v>49</v>
      </c>
      <c r="E102" t="s">
        <v>50</v>
      </c>
      <c r="F102" t="s">
        <v>292</v>
      </c>
      <c r="G102">
        <v>8.3000000000000007</v>
      </c>
      <c r="H102">
        <v>88</v>
      </c>
      <c r="I102" t="s">
        <v>396</v>
      </c>
      <c r="J102" s="3">
        <v>1020046</v>
      </c>
      <c r="K102" s="3" t="str">
        <f t="shared" si="9"/>
        <v>Must Watch</v>
      </c>
      <c r="L102" s="3" t="str">
        <f t="shared" si="6"/>
        <v>Don't Watch</v>
      </c>
      <c r="M102" s="3"/>
      <c r="N102" s="3" t="str">
        <f t="shared" si="7"/>
        <v>Maybe</v>
      </c>
      <c r="O102" t="s">
        <v>397</v>
      </c>
      <c r="P102" t="b">
        <f t="shared" si="8"/>
        <v>0</v>
      </c>
    </row>
    <row r="103" spans="1:16" x14ac:dyDescent="0.25">
      <c r="A103">
        <v>102</v>
      </c>
      <c r="B103" t="s">
        <v>398</v>
      </c>
      <c r="C103">
        <v>-2007</v>
      </c>
      <c r="D103" t="s">
        <v>74</v>
      </c>
      <c r="E103" t="s">
        <v>237</v>
      </c>
      <c r="F103" t="s">
        <v>399</v>
      </c>
      <c r="G103">
        <v>8.3000000000000007</v>
      </c>
      <c r="I103" t="s">
        <v>400</v>
      </c>
      <c r="J103" s="3">
        <v>189589</v>
      </c>
      <c r="K103" s="3" t="str">
        <f t="shared" si="9"/>
        <v>Must Watch</v>
      </c>
      <c r="L103" s="3" t="str">
        <f t="shared" si="6"/>
        <v>Don't Watch</v>
      </c>
      <c r="M103" s="3"/>
      <c r="N103" s="3" t="str">
        <f t="shared" si="7"/>
        <v>Maybe</v>
      </c>
      <c r="O103" t="s">
        <v>401</v>
      </c>
      <c r="P103" t="b">
        <f t="shared" si="8"/>
        <v>0</v>
      </c>
    </row>
    <row r="104" spans="1:16" x14ac:dyDescent="0.25">
      <c r="A104">
        <v>103</v>
      </c>
      <c r="B104" t="s">
        <v>402</v>
      </c>
      <c r="C104">
        <v>-2010</v>
      </c>
      <c r="D104" t="s">
        <v>49</v>
      </c>
      <c r="E104" t="s">
        <v>403</v>
      </c>
      <c r="F104" t="s">
        <v>292</v>
      </c>
      <c r="G104">
        <v>8.3000000000000007</v>
      </c>
      <c r="H104">
        <v>92</v>
      </c>
      <c r="I104" t="s">
        <v>293</v>
      </c>
      <c r="J104" s="3">
        <v>818885</v>
      </c>
      <c r="K104" s="3" t="str">
        <f t="shared" si="9"/>
        <v>Must Watch</v>
      </c>
      <c r="L104" s="3" t="str">
        <f t="shared" si="6"/>
        <v>Don't Watch</v>
      </c>
      <c r="M104" s="3"/>
      <c r="N104" s="3" t="str">
        <f t="shared" si="7"/>
        <v>Maybe</v>
      </c>
      <c r="O104" t="s">
        <v>404</v>
      </c>
      <c r="P104" t="b">
        <f t="shared" si="8"/>
        <v>0</v>
      </c>
    </row>
    <row r="105" spans="1:16" x14ac:dyDescent="0.25">
      <c r="A105">
        <v>104</v>
      </c>
      <c r="B105" t="s">
        <v>405</v>
      </c>
      <c r="C105">
        <v>-2009</v>
      </c>
      <c r="D105">
        <v>18</v>
      </c>
      <c r="E105" t="s">
        <v>86</v>
      </c>
      <c r="F105" t="s">
        <v>406</v>
      </c>
      <c r="G105">
        <v>8.3000000000000007</v>
      </c>
      <c r="H105">
        <v>69</v>
      </c>
      <c r="I105" t="s">
        <v>60</v>
      </c>
      <c r="J105" s="3">
        <v>1403916</v>
      </c>
      <c r="K105" s="3" t="str">
        <f t="shared" si="9"/>
        <v>Must Watch</v>
      </c>
      <c r="L105" s="3" t="str">
        <f t="shared" si="6"/>
        <v>Don't Watch</v>
      </c>
      <c r="M105" s="3"/>
      <c r="N105" s="3" t="str">
        <f t="shared" si="7"/>
        <v>Maybe</v>
      </c>
      <c r="O105" t="s">
        <v>407</v>
      </c>
      <c r="P105" t="b">
        <f t="shared" si="8"/>
        <v>0</v>
      </c>
    </row>
    <row r="106" spans="1:16" x14ac:dyDescent="0.25">
      <c r="A106">
        <v>105</v>
      </c>
      <c r="B106" t="s">
        <v>408</v>
      </c>
      <c r="C106">
        <v>-2004</v>
      </c>
      <c r="D106">
        <v>15</v>
      </c>
      <c r="E106" t="s">
        <v>409</v>
      </c>
      <c r="F106" t="s">
        <v>410</v>
      </c>
      <c r="G106">
        <v>8.3000000000000007</v>
      </c>
      <c r="H106">
        <v>89</v>
      </c>
      <c r="I106" t="s">
        <v>411</v>
      </c>
      <c r="J106" s="3">
        <v>986001</v>
      </c>
      <c r="K106" s="3" t="str">
        <f t="shared" si="9"/>
        <v>Must Watch</v>
      </c>
      <c r="L106" s="3" t="str">
        <f t="shared" si="6"/>
        <v>Don't Watch</v>
      </c>
      <c r="M106" s="3"/>
      <c r="N106" s="3" t="str">
        <f t="shared" si="7"/>
        <v>Maybe</v>
      </c>
      <c r="O106" t="s">
        <v>412</v>
      </c>
      <c r="P106" t="b">
        <f t="shared" si="8"/>
        <v>0</v>
      </c>
    </row>
    <row r="107" spans="1:16" x14ac:dyDescent="0.25">
      <c r="A107">
        <v>106</v>
      </c>
      <c r="B107" t="s">
        <v>413</v>
      </c>
      <c r="C107">
        <v>-2001</v>
      </c>
      <c r="D107">
        <v>15</v>
      </c>
      <c r="E107" t="s">
        <v>268</v>
      </c>
      <c r="F107" t="s">
        <v>414</v>
      </c>
      <c r="G107">
        <v>8.3000000000000007</v>
      </c>
      <c r="H107">
        <v>69</v>
      </c>
      <c r="I107" t="s">
        <v>415</v>
      </c>
      <c r="J107" s="3">
        <v>746066</v>
      </c>
      <c r="K107" s="3" t="str">
        <f t="shared" si="9"/>
        <v>Must Watch</v>
      </c>
      <c r="L107" s="3" t="str">
        <f t="shared" si="6"/>
        <v>Don't Watch</v>
      </c>
      <c r="M107" s="3"/>
      <c r="N107" s="3" t="str">
        <f t="shared" si="7"/>
        <v>Maybe</v>
      </c>
      <c r="O107" t="s">
        <v>416</v>
      </c>
      <c r="P107" t="b">
        <f t="shared" si="8"/>
        <v>0</v>
      </c>
    </row>
    <row r="108" spans="1:16" x14ac:dyDescent="0.25">
      <c r="A108">
        <v>107</v>
      </c>
      <c r="B108" t="s">
        <v>417</v>
      </c>
      <c r="C108">
        <v>-2000</v>
      </c>
      <c r="D108">
        <v>18</v>
      </c>
      <c r="E108" t="s">
        <v>418</v>
      </c>
      <c r="F108" t="s">
        <v>419</v>
      </c>
      <c r="G108">
        <v>8.3000000000000007</v>
      </c>
      <c r="H108">
        <v>55</v>
      </c>
      <c r="I108" t="s">
        <v>420</v>
      </c>
      <c r="J108" s="3">
        <v>840186</v>
      </c>
      <c r="K108" s="3" t="str">
        <f t="shared" si="9"/>
        <v>Must Watch</v>
      </c>
      <c r="L108" s="3" t="str">
        <f t="shared" si="6"/>
        <v>Don't Watch</v>
      </c>
      <c r="M108" s="3"/>
      <c r="N108" s="3" t="str">
        <f t="shared" si="7"/>
        <v>Maybe</v>
      </c>
      <c r="O108" t="s">
        <v>421</v>
      </c>
      <c r="P108" t="b">
        <f t="shared" si="8"/>
        <v>0</v>
      </c>
    </row>
    <row r="109" spans="1:16" x14ac:dyDescent="0.25">
      <c r="A109">
        <v>108</v>
      </c>
      <c r="B109" t="s">
        <v>422</v>
      </c>
      <c r="C109">
        <v>-2000</v>
      </c>
      <c r="D109">
        <v>18</v>
      </c>
      <c r="E109" t="s">
        <v>249</v>
      </c>
      <c r="F109" t="s">
        <v>20</v>
      </c>
      <c r="G109">
        <v>8.3000000000000007</v>
      </c>
      <c r="H109">
        <v>68</v>
      </c>
      <c r="I109" t="s">
        <v>423</v>
      </c>
      <c r="J109" s="3">
        <v>825245</v>
      </c>
      <c r="K109" s="3" t="str">
        <f t="shared" si="9"/>
        <v>Must Watch</v>
      </c>
      <c r="L109" s="3" t="str">
        <f t="shared" si="6"/>
        <v>Don't Watch</v>
      </c>
      <c r="M109" s="3"/>
      <c r="N109" s="3" t="str">
        <f t="shared" si="7"/>
        <v>Maybe</v>
      </c>
      <c r="O109" t="s">
        <v>424</v>
      </c>
      <c r="P109" t="b">
        <f t="shared" si="8"/>
        <v>0</v>
      </c>
    </row>
    <row r="110" spans="1:16" x14ac:dyDescent="0.25">
      <c r="A110">
        <v>109</v>
      </c>
      <c r="B110" t="s">
        <v>425</v>
      </c>
      <c r="C110">
        <v>-1997</v>
      </c>
      <c r="D110">
        <v>15</v>
      </c>
      <c r="E110" t="s">
        <v>263</v>
      </c>
      <c r="F110" t="s">
        <v>78</v>
      </c>
      <c r="G110">
        <v>8.3000000000000007</v>
      </c>
      <c r="H110">
        <v>70</v>
      </c>
      <c r="I110" t="s">
        <v>426</v>
      </c>
      <c r="J110" s="3">
        <v>943292</v>
      </c>
      <c r="K110" s="3" t="str">
        <f t="shared" si="9"/>
        <v>Must Watch</v>
      </c>
      <c r="L110" s="3" t="str">
        <f t="shared" si="6"/>
        <v>Don't Watch</v>
      </c>
      <c r="M110" s="3"/>
      <c r="N110" s="3" t="str">
        <f t="shared" si="7"/>
        <v>Maybe</v>
      </c>
      <c r="O110" t="s">
        <v>427</v>
      </c>
      <c r="P110" t="b">
        <f t="shared" si="8"/>
        <v>0</v>
      </c>
    </row>
    <row r="111" spans="1:16" x14ac:dyDescent="0.25">
      <c r="A111">
        <v>110</v>
      </c>
      <c r="B111" t="s">
        <v>428</v>
      </c>
      <c r="C111">
        <v>-1995</v>
      </c>
      <c r="D111" t="s">
        <v>74</v>
      </c>
      <c r="E111" t="s">
        <v>429</v>
      </c>
      <c r="F111" t="s">
        <v>292</v>
      </c>
      <c r="G111">
        <v>8.3000000000000007</v>
      </c>
      <c r="H111">
        <v>95</v>
      </c>
      <c r="I111" t="s">
        <v>430</v>
      </c>
      <c r="J111" s="3">
        <v>970421</v>
      </c>
      <c r="K111" s="3" t="str">
        <f t="shared" si="9"/>
        <v>Must Watch</v>
      </c>
      <c r="L111" s="3" t="str">
        <f t="shared" si="6"/>
        <v>Don't Watch</v>
      </c>
      <c r="M111" s="3"/>
      <c r="N111" s="3" t="str">
        <f t="shared" si="7"/>
        <v>Maybe</v>
      </c>
      <c r="O111" t="s">
        <v>431</v>
      </c>
      <c r="P111" t="b">
        <f t="shared" si="8"/>
        <v>0</v>
      </c>
    </row>
    <row r="112" spans="1:16" x14ac:dyDescent="0.25">
      <c r="A112">
        <v>111</v>
      </c>
      <c r="B112" t="s">
        <v>432</v>
      </c>
      <c r="C112">
        <v>-1995</v>
      </c>
      <c r="D112">
        <v>15</v>
      </c>
      <c r="E112" t="s">
        <v>303</v>
      </c>
      <c r="F112" t="s">
        <v>32</v>
      </c>
      <c r="G112">
        <v>8.3000000000000007</v>
      </c>
      <c r="H112">
        <v>76</v>
      </c>
      <c r="I112" t="s">
        <v>433</v>
      </c>
      <c r="J112" s="3">
        <v>638101</v>
      </c>
      <c r="K112" s="3" t="str">
        <f t="shared" si="9"/>
        <v>Must Watch</v>
      </c>
      <c r="L112" s="3" t="str">
        <f t="shared" si="6"/>
        <v>Don't Watch</v>
      </c>
      <c r="M112" s="3"/>
      <c r="N112" s="3" t="str">
        <f t="shared" si="7"/>
        <v>Maybe</v>
      </c>
      <c r="O112" t="s">
        <v>434</v>
      </c>
      <c r="P112" t="b">
        <f t="shared" si="8"/>
        <v>0</v>
      </c>
    </row>
    <row r="113" spans="1:16" x14ac:dyDescent="0.25">
      <c r="A113">
        <v>112</v>
      </c>
      <c r="B113" t="s">
        <v>435</v>
      </c>
      <c r="C113">
        <v>-1992</v>
      </c>
      <c r="D113">
        <v>18</v>
      </c>
      <c r="E113" t="s">
        <v>436</v>
      </c>
      <c r="F113" t="s">
        <v>144</v>
      </c>
      <c r="G113">
        <v>8.3000000000000007</v>
      </c>
      <c r="H113">
        <v>79</v>
      </c>
      <c r="I113" t="s">
        <v>60</v>
      </c>
      <c r="J113" s="3">
        <v>995471</v>
      </c>
      <c r="K113" s="3" t="str">
        <f t="shared" si="9"/>
        <v>Must Watch</v>
      </c>
      <c r="L113" s="3" t="str">
        <f t="shared" si="6"/>
        <v>Don't Watch</v>
      </c>
      <c r="M113" s="3"/>
      <c r="N113" s="3" t="str">
        <f t="shared" si="7"/>
        <v>Maybe</v>
      </c>
      <c r="O113" t="s">
        <v>437</v>
      </c>
      <c r="P113" t="b">
        <f t="shared" si="8"/>
        <v>0</v>
      </c>
    </row>
    <row r="114" spans="1:16" x14ac:dyDescent="0.25">
      <c r="A114">
        <v>113</v>
      </c>
      <c r="B114" t="s">
        <v>438</v>
      </c>
      <c r="C114">
        <v>-1987</v>
      </c>
      <c r="D114">
        <v>18</v>
      </c>
      <c r="E114" t="s">
        <v>131</v>
      </c>
      <c r="F114" t="s">
        <v>124</v>
      </c>
      <c r="G114">
        <v>8.3000000000000007</v>
      </c>
      <c r="H114">
        <v>76</v>
      </c>
      <c r="I114" t="s">
        <v>351</v>
      </c>
      <c r="J114" s="3">
        <v>728074</v>
      </c>
      <c r="K114" s="3" t="str">
        <f t="shared" si="9"/>
        <v>Must Watch</v>
      </c>
      <c r="L114" s="3" t="str">
        <f t="shared" si="6"/>
        <v>Don't Watch</v>
      </c>
      <c r="M114" s="3"/>
      <c r="N114" s="3" t="str">
        <f t="shared" si="7"/>
        <v>Maybe</v>
      </c>
      <c r="O114" t="s">
        <v>439</v>
      </c>
      <c r="P114" t="b">
        <f t="shared" si="8"/>
        <v>0</v>
      </c>
    </row>
    <row r="115" spans="1:16" x14ac:dyDescent="0.25">
      <c r="A115">
        <v>114</v>
      </c>
      <c r="B115" t="s">
        <v>440</v>
      </c>
      <c r="C115">
        <v>-1985</v>
      </c>
      <c r="D115">
        <v>15</v>
      </c>
      <c r="E115" t="s">
        <v>19</v>
      </c>
      <c r="F115" t="s">
        <v>441</v>
      </c>
      <c r="G115">
        <v>8.3000000000000007</v>
      </c>
      <c r="I115" t="s">
        <v>442</v>
      </c>
      <c r="J115" s="3">
        <v>75995</v>
      </c>
      <c r="K115" s="3" t="str">
        <f t="shared" si="9"/>
        <v>Must Watch</v>
      </c>
      <c r="L115" s="3" t="str">
        <f t="shared" si="6"/>
        <v>Don't Watch</v>
      </c>
      <c r="M115" s="3"/>
      <c r="N115" s="3" t="str">
        <f t="shared" si="7"/>
        <v>Maybe</v>
      </c>
      <c r="P115" t="b">
        <f t="shared" si="8"/>
        <v>0</v>
      </c>
    </row>
    <row r="116" spans="1:16" x14ac:dyDescent="0.25">
      <c r="A116">
        <v>115</v>
      </c>
      <c r="B116" t="s">
        <v>443</v>
      </c>
      <c r="C116">
        <v>-1984</v>
      </c>
      <c r="D116">
        <v>18</v>
      </c>
      <c r="E116" t="s">
        <v>444</v>
      </c>
      <c r="F116" t="s">
        <v>26</v>
      </c>
      <c r="G116">
        <v>8.3000000000000007</v>
      </c>
      <c r="H116">
        <v>75</v>
      </c>
      <c r="I116" t="s">
        <v>83</v>
      </c>
      <c r="J116" s="3">
        <v>345022</v>
      </c>
      <c r="K116" s="3" t="str">
        <f t="shared" si="9"/>
        <v>Must Watch</v>
      </c>
      <c r="L116" s="3" t="str">
        <f t="shared" si="6"/>
        <v>Don't Watch</v>
      </c>
      <c r="M116" s="3"/>
      <c r="N116" s="3" t="str">
        <f t="shared" si="7"/>
        <v>Maybe</v>
      </c>
      <c r="O116" t="s">
        <v>239</v>
      </c>
      <c r="P116" t="b">
        <f t="shared" si="8"/>
        <v>0</v>
      </c>
    </row>
    <row r="117" spans="1:16" x14ac:dyDescent="0.25">
      <c r="A117">
        <v>116</v>
      </c>
      <c r="B117" t="s">
        <v>445</v>
      </c>
      <c r="C117">
        <v>-1983</v>
      </c>
      <c r="D117">
        <v>18</v>
      </c>
      <c r="E117" t="s">
        <v>303</v>
      </c>
      <c r="F117" t="s">
        <v>26</v>
      </c>
      <c r="G117">
        <v>8.3000000000000007</v>
      </c>
      <c r="H117">
        <v>65</v>
      </c>
      <c r="I117" t="s">
        <v>446</v>
      </c>
      <c r="J117" s="3">
        <v>816317</v>
      </c>
      <c r="K117" s="3" t="str">
        <f t="shared" si="9"/>
        <v>Must Watch</v>
      </c>
      <c r="L117" s="3" t="str">
        <f t="shared" si="6"/>
        <v>Don't Watch</v>
      </c>
      <c r="M117" s="3"/>
      <c r="N117" s="3" t="str">
        <f t="shared" si="7"/>
        <v>Maybe</v>
      </c>
      <c r="O117" t="s">
        <v>447</v>
      </c>
      <c r="P117" t="b">
        <f t="shared" si="8"/>
        <v>0</v>
      </c>
    </row>
    <row r="118" spans="1:16" x14ac:dyDescent="0.25">
      <c r="A118">
        <v>117</v>
      </c>
      <c r="B118" t="s">
        <v>448</v>
      </c>
      <c r="C118">
        <v>-1983</v>
      </c>
      <c r="D118" t="s">
        <v>49</v>
      </c>
      <c r="E118" t="s">
        <v>388</v>
      </c>
      <c r="F118" t="s">
        <v>100</v>
      </c>
      <c r="G118">
        <v>8.3000000000000007</v>
      </c>
      <c r="H118">
        <v>58</v>
      </c>
      <c r="I118" t="s">
        <v>449</v>
      </c>
      <c r="J118" s="3">
        <v>1029342</v>
      </c>
      <c r="K118" s="3" t="str">
        <f t="shared" si="9"/>
        <v>Must Watch</v>
      </c>
      <c r="L118" s="3" t="str">
        <f t="shared" si="6"/>
        <v>Don't Watch</v>
      </c>
      <c r="M118" s="3"/>
      <c r="N118" s="3" t="str">
        <f t="shared" si="7"/>
        <v>Maybe</v>
      </c>
      <c r="O118" t="s">
        <v>450</v>
      </c>
      <c r="P118" t="b">
        <f t="shared" si="8"/>
        <v>0</v>
      </c>
    </row>
    <row r="119" spans="1:16" x14ac:dyDescent="0.25">
      <c r="A119">
        <v>118</v>
      </c>
      <c r="B119" t="s">
        <v>451</v>
      </c>
      <c r="C119">
        <v>-1973</v>
      </c>
      <c r="D119" t="s">
        <v>155</v>
      </c>
      <c r="E119" t="s">
        <v>452</v>
      </c>
      <c r="F119" t="s">
        <v>453</v>
      </c>
      <c r="G119">
        <v>8.3000000000000007</v>
      </c>
      <c r="H119">
        <v>83</v>
      </c>
      <c r="I119" t="s">
        <v>454</v>
      </c>
      <c r="J119" s="3">
        <v>258511</v>
      </c>
      <c r="K119" s="3" t="str">
        <f t="shared" si="9"/>
        <v>Must Watch</v>
      </c>
      <c r="L119" s="3" t="str">
        <f t="shared" si="6"/>
        <v>Don't Watch</v>
      </c>
      <c r="M119" s="3"/>
      <c r="N119" s="3" t="str">
        <f t="shared" si="7"/>
        <v>Maybe</v>
      </c>
      <c r="O119" t="s">
        <v>455</v>
      </c>
      <c r="P119" t="b">
        <f t="shared" si="8"/>
        <v>0</v>
      </c>
    </row>
    <row r="120" spans="1:16" x14ac:dyDescent="0.25">
      <c r="A120">
        <v>119</v>
      </c>
      <c r="B120" t="s">
        <v>456</v>
      </c>
      <c r="C120">
        <v>-1971</v>
      </c>
      <c r="D120" t="s">
        <v>24</v>
      </c>
      <c r="E120" t="s">
        <v>89</v>
      </c>
      <c r="F120" t="s">
        <v>457</v>
      </c>
      <c r="G120">
        <v>8.3000000000000007</v>
      </c>
      <c r="H120">
        <v>77</v>
      </c>
      <c r="I120" t="s">
        <v>351</v>
      </c>
      <c r="J120" s="3">
        <v>813821</v>
      </c>
      <c r="K120" s="3" t="str">
        <f t="shared" si="9"/>
        <v>Must Watch</v>
      </c>
      <c r="L120" s="3" t="str">
        <f t="shared" si="6"/>
        <v>Don't Watch</v>
      </c>
      <c r="M120" s="3"/>
      <c r="N120" s="3" t="str">
        <f t="shared" si="7"/>
        <v>Maybe</v>
      </c>
      <c r="O120" t="s">
        <v>458</v>
      </c>
      <c r="P120" t="b">
        <f t="shared" si="8"/>
        <v>0</v>
      </c>
    </row>
    <row r="121" spans="1:16" x14ac:dyDescent="0.25">
      <c r="A121">
        <v>120</v>
      </c>
      <c r="B121" t="s">
        <v>459</v>
      </c>
      <c r="C121">
        <v>-1968</v>
      </c>
      <c r="D121" t="s">
        <v>49</v>
      </c>
      <c r="E121" t="s">
        <v>287</v>
      </c>
      <c r="F121" t="s">
        <v>460</v>
      </c>
      <c r="G121">
        <v>8.3000000000000007</v>
      </c>
      <c r="H121">
        <v>84</v>
      </c>
      <c r="I121" t="s">
        <v>351</v>
      </c>
      <c r="J121" s="3">
        <v>655030</v>
      </c>
      <c r="K121" s="3" t="str">
        <f t="shared" si="9"/>
        <v>Must Watch</v>
      </c>
      <c r="L121" s="3" t="str">
        <f t="shared" si="6"/>
        <v>Don't Watch</v>
      </c>
      <c r="M121" s="3"/>
      <c r="N121" s="3" t="str">
        <f t="shared" si="7"/>
        <v>Maybe</v>
      </c>
      <c r="O121" t="s">
        <v>461</v>
      </c>
      <c r="P121" t="b">
        <f t="shared" si="8"/>
        <v>0</v>
      </c>
    </row>
    <row r="122" spans="1:16" x14ac:dyDescent="0.25">
      <c r="A122">
        <v>121</v>
      </c>
      <c r="B122" t="s">
        <v>462</v>
      </c>
      <c r="C122">
        <v>-1962</v>
      </c>
      <c r="D122" t="s">
        <v>155</v>
      </c>
      <c r="E122" t="s">
        <v>452</v>
      </c>
      <c r="F122" t="s">
        <v>26</v>
      </c>
      <c r="G122">
        <v>8.3000000000000007</v>
      </c>
      <c r="H122">
        <v>88</v>
      </c>
      <c r="I122" t="s">
        <v>463</v>
      </c>
      <c r="J122" s="3">
        <v>312861</v>
      </c>
      <c r="K122" s="3" t="str">
        <f t="shared" si="9"/>
        <v>Must Watch</v>
      </c>
      <c r="L122" s="3" t="str">
        <f t="shared" si="6"/>
        <v>Don't Watch</v>
      </c>
      <c r="M122" s="3"/>
      <c r="N122" s="3" t="str">
        <f t="shared" si="7"/>
        <v>Maybe</v>
      </c>
      <c r="P122" t="b">
        <f t="shared" si="8"/>
        <v>0</v>
      </c>
    </row>
    <row r="123" spans="1:16" x14ac:dyDescent="0.25">
      <c r="A123">
        <v>122</v>
      </c>
      <c r="B123" t="s">
        <v>464</v>
      </c>
      <c r="C123">
        <v>-1962</v>
      </c>
      <c r="D123" t="s">
        <v>74</v>
      </c>
      <c r="E123" t="s">
        <v>465</v>
      </c>
      <c r="F123" t="s">
        <v>466</v>
      </c>
      <c r="G123">
        <v>8.3000000000000007</v>
      </c>
      <c r="H123">
        <v>100</v>
      </c>
      <c r="I123" t="s">
        <v>467</v>
      </c>
      <c r="J123" s="3">
        <v>289377</v>
      </c>
      <c r="K123" s="3" t="str">
        <f t="shared" si="9"/>
        <v>Must Watch</v>
      </c>
      <c r="L123" s="3" t="str">
        <f t="shared" si="6"/>
        <v>Don't Watch</v>
      </c>
      <c r="M123" s="3"/>
      <c r="N123" s="3" t="str">
        <f t="shared" si="7"/>
        <v>Maybe</v>
      </c>
      <c r="O123" t="s">
        <v>468</v>
      </c>
      <c r="P123" t="b">
        <f t="shared" si="8"/>
        <v>0</v>
      </c>
    </row>
    <row r="124" spans="1:16" x14ac:dyDescent="0.25">
      <c r="A124">
        <v>123</v>
      </c>
      <c r="B124" t="s">
        <v>469</v>
      </c>
      <c r="C124">
        <v>-1961</v>
      </c>
      <c r="D124" t="s">
        <v>155</v>
      </c>
      <c r="E124" t="s">
        <v>67</v>
      </c>
      <c r="F124" t="s">
        <v>124</v>
      </c>
      <c r="G124">
        <v>8.3000000000000007</v>
      </c>
      <c r="H124">
        <v>60</v>
      </c>
      <c r="I124" t="s">
        <v>470</v>
      </c>
      <c r="J124" s="3">
        <v>76686</v>
      </c>
      <c r="K124" s="3" t="str">
        <f t="shared" si="9"/>
        <v>Must Watch</v>
      </c>
      <c r="L124" s="3" t="str">
        <f t="shared" si="6"/>
        <v>Don't Watch</v>
      </c>
      <c r="M124" s="3"/>
      <c r="N124" s="3" t="str">
        <f t="shared" si="7"/>
        <v>Maybe</v>
      </c>
      <c r="P124" t="b">
        <f t="shared" si="8"/>
        <v>0</v>
      </c>
    </row>
    <row r="125" spans="1:16" x14ac:dyDescent="0.25">
      <c r="A125">
        <v>124</v>
      </c>
      <c r="B125" t="s">
        <v>471</v>
      </c>
      <c r="C125">
        <v>-1960</v>
      </c>
      <c r="D125" t="s">
        <v>155</v>
      </c>
      <c r="E125" t="s">
        <v>119</v>
      </c>
      <c r="F125" t="s">
        <v>132</v>
      </c>
      <c r="G125">
        <v>8.3000000000000007</v>
      </c>
      <c r="H125">
        <v>94</v>
      </c>
      <c r="I125" t="s">
        <v>360</v>
      </c>
      <c r="J125" s="3">
        <v>179014</v>
      </c>
      <c r="K125" s="3" t="str">
        <f t="shared" si="9"/>
        <v>Must Watch</v>
      </c>
      <c r="L125" s="3" t="str">
        <f t="shared" si="6"/>
        <v>Don't Watch</v>
      </c>
      <c r="M125" s="3"/>
      <c r="N125" s="3" t="str">
        <f t="shared" si="7"/>
        <v>Must Watch</v>
      </c>
      <c r="O125" t="s">
        <v>472</v>
      </c>
      <c r="P125" t="b">
        <f t="shared" si="8"/>
        <v>0</v>
      </c>
    </row>
    <row r="126" spans="1:16" x14ac:dyDescent="0.25">
      <c r="A126">
        <v>125</v>
      </c>
      <c r="B126" t="s">
        <v>473</v>
      </c>
      <c r="C126">
        <v>-1959</v>
      </c>
      <c r="D126" t="s">
        <v>155</v>
      </c>
      <c r="E126" t="s">
        <v>89</v>
      </c>
      <c r="F126" t="s">
        <v>474</v>
      </c>
      <c r="G126">
        <v>8.3000000000000007</v>
      </c>
      <c r="H126">
        <v>98</v>
      </c>
      <c r="I126" t="s">
        <v>243</v>
      </c>
      <c r="J126" s="3">
        <v>322986</v>
      </c>
      <c r="K126" s="3" t="str">
        <f t="shared" si="9"/>
        <v>Must Watch</v>
      </c>
      <c r="L126" s="3" t="str">
        <f t="shared" si="6"/>
        <v>Don't Watch</v>
      </c>
      <c r="M126" s="3"/>
      <c r="N126" s="3" t="str">
        <f t="shared" si="7"/>
        <v>Maybe</v>
      </c>
      <c r="O126" t="s">
        <v>475</v>
      </c>
      <c r="P126" t="b">
        <f t="shared" si="8"/>
        <v>0</v>
      </c>
    </row>
    <row r="127" spans="1:16" x14ac:dyDescent="0.25">
      <c r="A127">
        <v>126</v>
      </c>
      <c r="B127" t="s">
        <v>476</v>
      </c>
      <c r="C127">
        <v>-1958</v>
      </c>
      <c r="D127" t="s">
        <v>155</v>
      </c>
      <c r="E127" t="s">
        <v>477</v>
      </c>
      <c r="F127" t="s">
        <v>478</v>
      </c>
      <c r="G127">
        <v>8.3000000000000007</v>
      </c>
      <c r="H127">
        <v>100</v>
      </c>
      <c r="I127" t="s">
        <v>243</v>
      </c>
      <c r="J127" s="3">
        <v>396060</v>
      </c>
      <c r="K127" s="3" t="str">
        <f t="shared" si="9"/>
        <v>Must Watch</v>
      </c>
      <c r="L127" s="3" t="str">
        <f t="shared" si="6"/>
        <v>Don't Watch</v>
      </c>
      <c r="M127" s="3"/>
      <c r="N127" s="3" t="str">
        <f t="shared" si="7"/>
        <v>Maybe</v>
      </c>
      <c r="O127" t="s">
        <v>479</v>
      </c>
      <c r="P127" t="b">
        <f t="shared" si="8"/>
        <v>0</v>
      </c>
    </row>
    <row r="128" spans="1:16" x14ac:dyDescent="0.25">
      <c r="A128">
        <v>127</v>
      </c>
      <c r="B128" t="s">
        <v>480</v>
      </c>
      <c r="C128">
        <v>-1955</v>
      </c>
      <c r="D128" t="s">
        <v>49</v>
      </c>
      <c r="E128" t="s">
        <v>119</v>
      </c>
      <c r="F128" t="s">
        <v>20</v>
      </c>
      <c r="G128">
        <v>8.3000000000000007</v>
      </c>
      <c r="I128" t="s">
        <v>481</v>
      </c>
      <c r="J128" s="3">
        <v>32005</v>
      </c>
      <c r="K128" s="3" t="str">
        <f t="shared" si="9"/>
        <v>Must Watch</v>
      </c>
      <c r="L128" s="3" t="str">
        <f t="shared" si="6"/>
        <v>Don't Watch</v>
      </c>
      <c r="M128" s="3"/>
      <c r="N128" s="3" t="str">
        <f t="shared" si="7"/>
        <v>Maybe</v>
      </c>
      <c r="O128" t="s">
        <v>482</v>
      </c>
      <c r="P128" t="b">
        <f t="shared" si="8"/>
        <v>0</v>
      </c>
    </row>
    <row r="129" spans="1:16" x14ac:dyDescent="0.25">
      <c r="A129">
        <v>128</v>
      </c>
      <c r="B129" t="s">
        <v>483</v>
      </c>
      <c r="C129">
        <v>-1952</v>
      </c>
      <c r="D129" t="s">
        <v>49</v>
      </c>
      <c r="E129" t="s">
        <v>403</v>
      </c>
      <c r="F129" t="s">
        <v>484</v>
      </c>
      <c r="G129">
        <v>8.3000000000000007</v>
      </c>
      <c r="H129">
        <v>99</v>
      </c>
      <c r="I129" t="s">
        <v>485</v>
      </c>
      <c r="J129" s="3">
        <v>238466</v>
      </c>
      <c r="K129" s="3" t="str">
        <f t="shared" si="9"/>
        <v>Must Watch</v>
      </c>
      <c r="L129" s="3" t="str">
        <f t="shared" si="6"/>
        <v>Don't Watch</v>
      </c>
      <c r="M129" s="3"/>
      <c r="N129" s="3" t="str">
        <f t="shared" si="7"/>
        <v>Maybe</v>
      </c>
      <c r="O129" t="s">
        <v>486</v>
      </c>
      <c r="P129" t="b">
        <f t="shared" si="8"/>
        <v>0</v>
      </c>
    </row>
    <row r="130" spans="1:16" x14ac:dyDescent="0.25">
      <c r="A130">
        <v>129</v>
      </c>
      <c r="B130" t="s">
        <v>487</v>
      </c>
      <c r="C130">
        <v>-1952</v>
      </c>
      <c r="D130" t="s">
        <v>155</v>
      </c>
      <c r="E130" t="s">
        <v>354</v>
      </c>
      <c r="F130" t="s">
        <v>20</v>
      </c>
      <c r="G130">
        <v>8.3000000000000007</v>
      </c>
      <c r="H130">
        <v>91</v>
      </c>
      <c r="I130" t="s">
        <v>157</v>
      </c>
      <c r="J130" s="3">
        <v>77125</v>
      </c>
      <c r="K130" s="3" t="str">
        <f t="shared" si="9"/>
        <v>Must Watch</v>
      </c>
      <c r="L130" s="3" t="str">
        <f t="shared" si="6"/>
        <v>Don't Watch</v>
      </c>
      <c r="M130" s="3"/>
      <c r="N130" s="3" t="str">
        <f t="shared" si="7"/>
        <v>Maybe</v>
      </c>
      <c r="O130" t="s">
        <v>488</v>
      </c>
      <c r="P130" t="b">
        <f t="shared" si="8"/>
        <v>0</v>
      </c>
    </row>
    <row r="131" spans="1:16" x14ac:dyDescent="0.25">
      <c r="A131">
        <v>130</v>
      </c>
      <c r="B131" t="s">
        <v>489</v>
      </c>
      <c r="C131">
        <v>-1948</v>
      </c>
      <c r="D131" t="s">
        <v>49</v>
      </c>
      <c r="E131" t="s">
        <v>221</v>
      </c>
      <c r="F131" t="s">
        <v>20</v>
      </c>
      <c r="G131">
        <v>8.3000000000000007</v>
      </c>
      <c r="I131" t="s">
        <v>490</v>
      </c>
      <c r="J131" s="3">
        <v>161423</v>
      </c>
      <c r="K131" s="3" t="str">
        <f t="shared" si="9"/>
        <v>Must Watch</v>
      </c>
      <c r="L131" s="3" t="str">
        <f t="shared" ref="L131:L194" si="10">IF(G131=9,"Must Watch",IF(G131=8,"Maybe","Don't Watch"))</f>
        <v>Don't Watch</v>
      </c>
      <c r="M131" s="3"/>
      <c r="N131" s="3" t="str">
        <f t="shared" ref="N131:N194" si="11">IF(I131="Billy Wilder", "Must Watch", IF(I131="John Ford", "Watch", "Maybe"))</f>
        <v>Maybe</v>
      </c>
      <c r="O131" t="s">
        <v>491</v>
      </c>
      <c r="P131" t="b">
        <f t="shared" ref="P131:P194" si="12">ISNUMBER(B:B)</f>
        <v>0</v>
      </c>
    </row>
    <row r="132" spans="1:16" x14ac:dyDescent="0.25">
      <c r="A132">
        <v>131</v>
      </c>
      <c r="B132" t="s">
        <v>492</v>
      </c>
      <c r="C132">
        <v>-1944</v>
      </c>
      <c r="D132" t="s">
        <v>155</v>
      </c>
      <c r="E132" t="s">
        <v>493</v>
      </c>
      <c r="F132" t="s">
        <v>494</v>
      </c>
      <c r="G132">
        <v>8.3000000000000007</v>
      </c>
      <c r="H132">
        <v>95</v>
      </c>
      <c r="I132" t="s">
        <v>360</v>
      </c>
      <c r="J132" s="3">
        <v>155046</v>
      </c>
      <c r="K132" s="3" t="str">
        <f t="shared" si="9"/>
        <v>Must Watch</v>
      </c>
      <c r="L132" s="3" t="str">
        <f t="shared" si="10"/>
        <v>Don't Watch</v>
      </c>
      <c r="M132" s="3"/>
      <c r="N132" s="3" t="str">
        <f t="shared" si="11"/>
        <v>Must Watch</v>
      </c>
      <c r="O132" t="s">
        <v>495</v>
      </c>
      <c r="P132" t="b">
        <f t="shared" si="12"/>
        <v>0</v>
      </c>
    </row>
    <row r="133" spans="1:16" x14ac:dyDescent="0.25">
      <c r="A133">
        <v>132</v>
      </c>
      <c r="B133" t="s">
        <v>496</v>
      </c>
      <c r="C133">
        <v>-1941</v>
      </c>
      <c r="D133" t="s">
        <v>155</v>
      </c>
      <c r="E133" t="s">
        <v>202</v>
      </c>
      <c r="F133" t="s">
        <v>389</v>
      </c>
      <c r="G133">
        <v>8.3000000000000007</v>
      </c>
      <c r="H133">
        <v>100</v>
      </c>
      <c r="I133" t="s">
        <v>497</v>
      </c>
      <c r="J133" s="3">
        <v>436067</v>
      </c>
      <c r="K133" s="3" t="str">
        <f t="shared" si="9"/>
        <v>Must Watch</v>
      </c>
      <c r="L133" s="3" t="str">
        <f t="shared" si="10"/>
        <v>Don't Watch</v>
      </c>
      <c r="M133" s="3"/>
      <c r="N133" s="3" t="str">
        <f t="shared" si="11"/>
        <v>Maybe</v>
      </c>
      <c r="O133" t="s">
        <v>498</v>
      </c>
      <c r="P133" t="b">
        <f t="shared" si="12"/>
        <v>0</v>
      </c>
    </row>
    <row r="134" spans="1:16" x14ac:dyDescent="0.25">
      <c r="A134">
        <v>133</v>
      </c>
      <c r="B134" t="s">
        <v>499</v>
      </c>
      <c r="C134">
        <v>-1931</v>
      </c>
      <c r="D134" t="s">
        <v>155</v>
      </c>
      <c r="E134" t="s">
        <v>232</v>
      </c>
      <c r="F134" t="s">
        <v>500</v>
      </c>
      <c r="G134">
        <v>8.3000000000000007</v>
      </c>
      <c r="I134" t="s">
        <v>501</v>
      </c>
      <c r="J134" s="3">
        <v>155867</v>
      </c>
      <c r="K134" s="3" t="str">
        <f t="shared" si="9"/>
        <v>Must Watch</v>
      </c>
      <c r="L134" s="3" t="str">
        <f t="shared" si="10"/>
        <v>Don't Watch</v>
      </c>
      <c r="M134" s="3"/>
      <c r="N134" s="3" t="str">
        <f t="shared" si="11"/>
        <v>Maybe</v>
      </c>
      <c r="O134" t="s">
        <v>502</v>
      </c>
      <c r="P134" t="b">
        <f t="shared" si="12"/>
        <v>0</v>
      </c>
    </row>
    <row r="135" spans="1:16" x14ac:dyDescent="0.25">
      <c r="A135">
        <v>134</v>
      </c>
      <c r="B135" t="s">
        <v>503</v>
      </c>
      <c r="C135">
        <v>-1927</v>
      </c>
      <c r="D135" t="s">
        <v>155</v>
      </c>
      <c r="E135" t="s">
        <v>86</v>
      </c>
      <c r="F135" t="s">
        <v>504</v>
      </c>
      <c r="G135">
        <v>8.3000000000000007</v>
      </c>
      <c r="H135">
        <v>98</v>
      </c>
      <c r="I135" t="s">
        <v>501</v>
      </c>
      <c r="J135" s="3">
        <v>172159</v>
      </c>
      <c r="K135" s="3" t="str">
        <f t="shared" ref="K135:K198" si="13">IF(G135&lt;7.9, "Don't Watch", IF(G135&gt;8, "Must Watch", "Maybe"))</f>
        <v>Must Watch</v>
      </c>
      <c r="L135" s="3" t="str">
        <f t="shared" si="10"/>
        <v>Don't Watch</v>
      </c>
      <c r="M135" s="3"/>
      <c r="N135" s="3" t="str">
        <f t="shared" si="11"/>
        <v>Maybe</v>
      </c>
      <c r="O135" t="s">
        <v>505</v>
      </c>
      <c r="P135" t="b">
        <f t="shared" si="12"/>
        <v>0</v>
      </c>
    </row>
    <row r="136" spans="1:16" x14ac:dyDescent="0.25">
      <c r="A136">
        <v>135</v>
      </c>
      <c r="B136" t="s">
        <v>506</v>
      </c>
      <c r="C136">
        <v>-1921</v>
      </c>
      <c r="D136" t="s">
        <v>49</v>
      </c>
      <c r="E136" t="s">
        <v>507</v>
      </c>
      <c r="F136" t="s">
        <v>508</v>
      </c>
      <c r="G136">
        <v>8.3000000000000007</v>
      </c>
      <c r="I136" t="s">
        <v>255</v>
      </c>
      <c r="J136" s="3">
        <v>124986</v>
      </c>
      <c r="K136" s="3" t="str">
        <f t="shared" si="13"/>
        <v>Must Watch</v>
      </c>
      <c r="L136" s="3" t="str">
        <f t="shared" si="10"/>
        <v>Don't Watch</v>
      </c>
      <c r="M136" s="3"/>
      <c r="N136" s="3" t="str">
        <f t="shared" si="11"/>
        <v>Maybe</v>
      </c>
      <c r="O136" t="s">
        <v>509</v>
      </c>
      <c r="P136" t="b">
        <f t="shared" si="12"/>
        <v>0</v>
      </c>
    </row>
    <row r="137" spans="1:16" x14ac:dyDescent="0.25">
      <c r="A137">
        <v>136</v>
      </c>
      <c r="B137" t="s">
        <v>510</v>
      </c>
      <c r="C137">
        <v>-2019</v>
      </c>
      <c r="D137" t="s">
        <v>30</v>
      </c>
      <c r="E137" t="s">
        <v>354</v>
      </c>
      <c r="F137" t="s">
        <v>132</v>
      </c>
      <c r="G137">
        <v>8.1999999999999993</v>
      </c>
      <c r="I137" t="s">
        <v>377</v>
      </c>
      <c r="J137" s="3">
        <v>50803</v>
      </c>
      <c r="K137" s="3" t="str">
        <f t="shared" si="13"/>
        <v>Must Watch</v>
      </c>
      <c r="L137" s="3" t="str">
        <f t="shared" si="10"/>
        <v>Don't Watch</v>
      </c>
      <c r="M137" s="3"/>
      <c r="N137" s="3" t="str">
        <f t="shared" si="11"/>
        <v>Maybe</v>
      </c>
      <c r="O137" t="s">
        <v>511</v>
      </c>
      <c r="P137" t="b">
        <f t="shared" si="12"/>
        <v>0</v>
      </c>
    </row>
    <row r="138" spans="1:16" x14ac:dyDescent="0.25">
      <c r="A138">
        <v>137</v>
      </c>
      <c r="B138">
        <v>1917</v>
      </c>
      <c r="C138">
        <v>-2019</v>
      </c>
      <c r="D138">
        <v>15</v>
      </c>
      <c r="E138" t="s">
        <v>202</v>
      </c>
      <c r="F138" t="s">
        <v>512</v>
      </c>
      <c r="G138">
        <v>8.1999999999999993</v>
      </c>
      <c r="H138">
        <v>78</v>
      </c>
      <c r="I138" t="s">
        <v>328</v>
      </c>
      <c r="J138" s="3">
        <v>557637</v>
      </c>
      <c r="K138" s="3" t="str">
        <f t="shared" si="13"/>
        <v>Must Watch</v>
      </c>
      <c r="L138" s="3" t="str">
        <f t="shared" si="10"/>
        <v>Don't Watch</v>
      </c>
      <c r="M138" s="3"/>
      <c r="N138" s="3" t="str">
        <f t="shared" si="11"/>
        <v>Maybe</v>
      </c>
      <c r="O138" t="s">
        <v>513</v>
      </c>
      <c r="P138" t="b">
        <f t="shared" si="12"/>
        <v>1</v>
      </c>
    </row>
    <row r="139" spans="1:16" x14ac:dyDescent="0.25">
      <c r="A139">
        <v>138</v>
      </c>
      <c r="B139" t="s">
        <v>514</v>
      </c>
      <c r="C139">
        <v>-2019</v>
      </c>
      <c r="D139">
        <v>15</v>
      </c>
      <c r="E139" t="s">
        <v>515</v>
      </c>
      <c r="F139" t="s">
        <v>516</v>
      </c>
      <c r="G139">
        <v>8.1999999999999993</v>
      </c>
      <c r="I139" t="s">
        <v>517</v>
      </c>
      <c r="J139" s="3">
        <v>59582</v>
      </c>
      <c r="K139" s="3" t="str">
        <f t="shared" si="13"/>
        <v>Must Watch</v>
      </c>
      <c r="L139" s="3" t="str">
        <f t="shared" si="10"/>
        <v>Don't Watch</v>
      </c>
      <c r="M139" s="3"/>
      <c r="N139" s="3" t="str">
        <f t="shared" si="11"/>
        <v>Maybe</v>
      </c>
      <c r="O139" t="s">
        <v>518</v>
      </c>
      <c r="P139" t="b">
        <f t="shared" si="12"/>
        <v>0</v>
      </c>
    </row>
    <row r="140" spans="1:16" x14ac:dyDescent="0.25">
      <c r="A140">
        <v>139</v>
      </c>
      <c r="B140" t="s">
        <v>519</v>
      </c>
      <c r="C140">
        <v>-2018</v>
      </c>
      <c r="D140">
        <v>18</v>
      </c>
      <c r="E140" t="s">
        <v>418</v>
      </c>
      <c r="F140" t="s">
        <v>520</v>
      </c>
      <c r="G140">
        <v>8.1999999999999993</v>
      </c>
      <c r="I140" t="s">
        <v>521</v>
      </c>
      <c r="J140" s="3">
        <v>42528</v>
      </c>
      <c r="K140" s="3" t="str">
        <f t="shared" si="13"/>
        <v>Must Watch</v>
      </c>
      <c r="L140" s="3" t="str">
        <f t="shared" si="10"/>
        <v>Don't Watch</v>
      </c>
      <c r="M140" s="3"/>
      <c r="N140" s="3" t="str">
        <f t="shared" si="11"/>
        <v>Maybe</v>
      </c>
      <c r="P140" t="b">
        <f t="shared" si="12"/>
        <v>0</v>
      </c>
    </row>
    <row r="141" spans="1:16" x14ac:dyDescent="0.25">
      <c r="A141">
        <v>140</v>
      </c>
      <c r="B141" t="s">
        <v>522</v>
      </c>
      <c r="C141">
        <v>-2018</v>
      </c>
      <c r="D141" t="s">
        <v>30</v>
      </c>
      <c r="E141" t="s">
        <v>70</v>
      </c>
      <c r="F141" t="s">
        <v>523</v>
      </c>
      <c r="G141">
        <v>8.1999999999999993</v>
      </c>
      <c r="I141" t="s">
        <v>524</v>
      </c>
      <c r="J141" s="3">
        <v>89987</v>
      </c>
      <c r="K141" s="3" t="str">
        <f t="shared" si="13"/>
        <v>Must Watch</v>
      </c>
      <c r="L141" s="3" t="str">
        <f t="shared" si="10"/>
        <v>Don't Watch</v>
      </c>
      <c r="M141" s="3"/>
      <c r="N141" s="3" t="str">
        <f t="shared" si="11"/>
        <v>Maybe</v>
      </c>
      <c r="O141" t="s">
        <v>525</v>
      </c>
      <c r="P141" t="b">
        <f t="shared" si="12"/>
        <v>0</v>
      </c>
    </row>
    <row r="142" spans="1:16" x14ac:dyDescent="0.25">
      <c r="A142">
        <v>141</v>
      </c>
      <c r="B142" t="s">
        <v>526</v>
      </c>
      <c r="C142">
        <v>-2018</v>
      </c>
      <c r="D142">
        <v>15</v>
      </c>
      <c r="E142" t="s">
        <v>527</v>
      </c>
      <c r="F142" t="s">
        <v>32</v>
      </c>
      <c r="G142">
        <v>8.1999999999999993</v>
      </c>
      <c r="I142" t="s">
        <v>182</v>
      </c>
      <c r="J142" s="3">
        <v>77762</v>
      </c>
      <c r="K142" s="3" t="str">
        <f t="shared" si="13"/>
        <v>Must Watch</v>
      </c>
      <c r="L142" s="3" t="str">
        <f t="shared" si="10"/>
        <v>Don't Watch</v>
      </c>
      <c r="M142" s="3"/>
      <c r="N142" s="3" t="str">
        <f t="shared" si="11"/>
        <v>Maybe</v>
      </c>
      <c r="P142" t="b">
        <f t="shared" si="12"/>
        <v>0</v>
      </c>
    </row>
    <row r="143" spans="1:16" x14ac:dyDescent="0.25">
      <c r="A143">
        <v>142</v>
      </c>
      <c r="B143" t="s">
        <v>528</v>
      </c>
      <c r="C143">
        <v>-2018</v>
      </c>
      <c r="D143" t="s">
        <v>30</v>
      </c>
      <c r="E143" t="s">
        <v>108</v>
      </c>
      <c r="F143" t="s">
        <v>177</v>
      </c>
      <c r="G143">
        <v>8.1999999999999993</v>
      </c>
      <c r="H143">
        <v>69</v>
      </c>
      <c r="I143" t="s">
        <v>529</v>
      </c>
      <c r="J143" s="3">
        <v>469140</v>
      </c>
      <c r="K143" s="3" t="str">
        <f t="shared" si="13"/>
        <v>Must Watch</v>
      </c>
      <c r="L143" s="3" t="str">
        <f t="shared" si="10"/>
        <v>Don't Watch</v>
      </c>
      <c r="M143" s="3"/>
      <c r="N143" s="3" t="str">
        <f t="shared" si="11"/>
        <v>Maybe</v>
      </c>
      <c r="O143" t="s">
        <v>530</v>
      </c>
      <c r="P143" t="b">
        <f t="shared" si="12"/>
        <v>0</v>
      </c>
    </row>
    <row r="144" spans="1:16" x14ac:dyDescent="0.25">
      <c r="A144">
        <v>143</v>
      </c>
      <c r="B144" t="s">
        <v>531</v>
      </c>
      <c r="C144">
        <v>-2017</v>
      </c>
      <c r="D144" t="s">
        <v>30</v>
      </c>
      <c r="E144" t="s">
        <v>228</v>
      </c>
      <c r="F144" t="s">
        <v>32</v>
      </c>
      <c r="G144">
        <v>8.1999999999999993</v>
      </c>
      <c r="I144" t="s">
        <v>532</v>
      </c>
      <c r="J144" s="3">
        <v>37774</v>
      </c>
      <c r="K144" s="3" t="str">
        <f t="shared" si="13"/>
        <v>Must Watch</v>
      </c>
      <c r="L144" s="3" t="str">
        <f t="shared" si="10"/>
        <v>Don't Watch</v>
      </c>
      <c r="M144" s="3"/>
      <c r="N144" s="3" t="str">
        <f t="shared" si="11"/>
        <v>Maybe</v>
      </c>
      <c r="P144" t="b">
        <f t="shared" si="12"/>
        <v>0</v>
      </c>
    </row>
    <row r="145" spans="1:16" x14ac:dyDescent="0.25">
      <c r="A145">
        <v>144</v>
      </c>
      <c r="B145" t="s">
        <v>533</v>
      </c>
      <c r="C145">
        <v>-2017</v>
      </c>
      <c r="D145">
        <v>15</v>
      </c>
      <c r="E145" t="s">
        <v>534</v>
      </c>
      <c r="F145" t="s">
        <v>109</v>
      </c>
      <c r="G145">
        <v>8.1999999999999993</v>
      </c>
      <c r="I145" t="s">
        <v>535</v>
      </c>
      <c r="J145" s="3">
        <v>94292</v>
      </c>
      <c r="K145" s="3" t="str">
        <f t="shared" si="13"/>
        <v>Must Watch</v>
      </c>
      <c r="L145" s="3" t="str">
        <f t="shared" si="10"/>
        <v>Don't Watch</v>
      </c>
      <c r="M145" s="3"/>
      <c r="N145" s="3" t="str">
        <f t="shared" si="11"/>
        <v>Maybe</v>
      </c>
      <c r="O145" t="s">
        <v>536</v>
      </c>
      <c r="P145" t="b">
        <f t="shared" si="12"/>
        <v>0</v>
      </c>
    </row>
    <row r="146" spans="1:16" x14ac:dyDescent="0.25">
      <c r="A146">
        <v>145</v>
      </c>
      <c r="B146" t="s">
        <v>379</v>
      </c>
      <c r="C146">
        <v>-2015</v>
      </c>
      <c r="D146" t="s">
        <v>30</v>
      </c>
      <c r="E146" t="s">
        <v>537</v>
      </c>
      <c r="F146" t="s">
        <v>56</v>
      </c>
      <c r="G146">
        <v>8.1999999999999993</v>
      </c>
      <c r="I146" t="s">
        <v>538</v>
      </c>
      <c r="J146" s="3">
        <v>80173</v>
      </c>
      <c r="K146" s="3" t="str">
        <f t="shared" si="13"/>
        <v>Must Watch</v>
      </c>
      <c r="L146" s="3" t="str">
        <f t="shared" si="10"/>
        <v>Don't Watch</v>
      </c>
      <c r="M146" s="3"/>
      <c r="N146" s="3" t="str">
        <f t="shared" si="11"/>
        <v>Maybe</v>
      </c>
      <c r="O146" t="s">
        <v>539</v>
      </c>
      <c r="P146" t="b">
        <f t="shared" si="12"/>
        <v>0</v>
      </c>
    </row>
    <row r="147" spans="1:16" x14ac:dyDescent="0.25">
      <c r="A147">
        <v>146</v>
      </c>
      <c r="B147" t="s">
        <v>540</v>
      </c>
      <c r="C147">
        <v>-2013</v>
      </c>
      <c r="D147" t="s">
        <v>30</v>
      </c>
      <c r="E147" t="s">
        <v>541</v>
      </c>
      <c r="F147" t="s">
        <v>542</v>
      </c>
      <c r="G147">
        <v>8.1999999999999993</v>
      </c>
      <c r="I147" t="s">
        <v>543</v>
      </c>
      <c r="J147" s="3">
        <v>67091</v>
      </c>
      <c r="K147" s="3" t="str">
        <f t="shared" si="13"/>
        <v>Must Watch</v>
      </c>
      <c r="L147" s="3" t="str">
        <f t="shared" si="10"/>
        <v>Don't Watch</v>
      </c>
      <c r="M147" s="3"/>
      <c r="N147" s="3" t="str">
        <f t="shared" si="11"/>
        <v>Maybe</v>
      </c>
      <c r="O147" t="s">
        <v>544</v>
      </c>
      <c r="P147" t="b">
        <f t="shared" si="12"/>
        <v>0</v>
      </c>
    </row>
    <row r="148" spans="1:16" x14ac:dyDescent="0.25">
      <c r="A148">
        <v>147</v>
      </c>
      <c r="B148" t="s">
        <v>545</v>
      </c>
      <c r="C148" t="s">
        <v>546</v>
      </c>
      <c r="D148" t="s">
        <v>49</v>
      </c>
      <c r="E148" t="s">
        <v>356</v>
      </c>
      <c r="F148" t="s">
        <v>292</v>
      </c>
      <c r="G148">
        <v>8.1999999999999993</v>
      </c>
      <c r="H148">
        <v>94</v>
      </c>
      <c r="I148" t="s">
        <v>396</v>
      </c>
      <c r="J148" s="3">
        <v>693152</v>
      </c>
      <c r="K148" s="3" t="str">
        <f t="shared" si="13"/>
        <v>Must Watch</v>
      </c>
      <c r="L148" s="3" t="str">
        <f t="shared" si="10"/>
        <v>Don't Watch</v>
      </c>
      <c r="M148" s="3"/>
      <c r="N148" s="3" t="str">
        <f t="shared" si="11"/>
        <v>Maybe</v>
      </c>
      <c r="O148" t="s">
        <v>547</v>
      </c>
      <c r="P148" t="b">
        <f t="shared" si="12"/>
        <v>0</v>
      </c>
    </row>
    <row r="149" spans="1:16" x14ac:dyDescent="0.25">
      <c r="A149">
        <v>148</v>
      </c>
      <c r="B149" t="s">
        <v>548</v>
      </c>
      <c r="C149">
        <v>-2012</v>
      </c>
      <c r="D149">
        <v>18</v>
      </c>
      <c r="E149" t="s">
        <v>549</v>
      </c>
      <c r="F149" t="s">
        <v>550</v>
      </c>
      <c r="G149">
        <v>8.1999999999999993</v>
      </c>
      <c r="H149">
        <v>89</v>
      </c>
      <c r="I149" t="s">
        <v>551</v>
      </c>
      <c r="J149" s="3">
        <v>94201</v>
      </c>
      <c r="K149" s="3" t="str">
        <f t="shared" si="13"/>
        <v>Must Watch</v>
      </c>
      <c r="L149" s="3" t="str">
        <f t="shared" si="10"/>
        <v>Don't Watch</v>
      </c>
      <c r="M149" s="3"/>
      <c r="N149" s="3" t="str">
        <f t="shared" si="11"/>
        <v>Maybe</v>
      </c>
      <c r="P149" t="b">
        <f t="shared" si="12"/>
        <v>0</v>
      </c>
    </row>
    <row r="150" spans="1:16" x14ac:dyDescent="0.25">
      <c r="A150">
        <v>149</v>
      </c>
      <c r="B150" t="s">
        <v>552</v>
      </c>
      <c r="C150">
        <v>-2012</v>
      </c>
      <c r="D150" t="s">
        <v>30</v>
      </c>
      <c r="E150" t="s">
        <v>309</v>
      </c>
      <c r="F150" t="s">
        <v>553</v>
      </c>
      <c r="G150">
        <v>8.1999999999999993</v>
      </c>
      <c r="I150" t="s">
        <v>554</v>
      </c>
      <c r="J150" s="3">
        <v>36069</v>
      </c>
      <c r="K150" s="3" t="str">
        <f t="shared" si="13"/>
        <v>Must Watch</v>
      </c>
      <c r="L150" s="3" t="str">
        <f t="shared" si="10"/>
        <v>Don't Watch</v>
      </c>
      <c r="M150" s="3"/>
      <c r="N150" s="3" t="str">
        <f t="shared" si="11"/>
        <v>Maybe</v>
      </c>
      <c r="O150" t="s">
        <v>555</v>
      </c>
      <c r="P150" t="b">
        <f t="shared" si="12"/>
        <v>0</v>
      </c>
    </row>
    <row r="151" spans="1:16" x14ac:dyDescent="0.25">
      <c r="A151">
        <v>150</v>
      </c>
      <c r="B151" t="s">
        <v>556</v>
      </c>
      <c r="C151">
        <v>-2009</v>
      </c>
      <c r="D151">
        <v>18</v>
      </c>
      <c r="E151" t="s">
        <v>452</v>
      </c>
      <c r="F151" t="s">
        <v>557</v>
      </c>
      <c r="G151">
        <v>8.1999999999999993</v>
      </c>
      <c r="H151">
        <v>80</v>
      </c>
      <c r="I151" t="s">
        <v>558</v>
      </c>
      <c r="J151" s="3">
        <v>207253</v>
      </c>
      <c r="K151" s="3" t="str">
        <f t="shared" si="13"/>
        <v>Must Watch</v>
      </c>
      <c r="L151" s="3" t="str">
        <f t="shared" si="10"/>
        <v>Don't Watch</v>
      </c>
      <c r="M151" s="3"/>
      <c r="N151" s="3" t="str">
        <f t="shared" si="11"/>
        <v>Maybe</v>
      </c>
      <c r="O151" t="s">
        <v>559</v>
      </c>
      <c r="P151" t="b">
        <f t="shared" si="12"/>
        <v>0</v>
      </c>
    </row>
    <row r="152" spans="1:16" x14ac:dyDescent="0.25">
      <c r="A152">
        <v>151</v>
      </c>
      <c r="B152" t="s">
        <v>560</v>
      </c>
      <c r="C152">
        <v>-2011</v>
      </c>
      <c r="D152" t="s">
        <v>30</v>
      </c>
      <c r="E152" t="s">
        <v>561</v>
      </c>
      <c r="F152" t="s">
        <v>562</v>
      </c>
      <c r="G152">
        <v>8.1999999999999993</v>
      </c>
      <c r="H152">
        <v>71</v>
      </c>
      <c r="I152" t="s">
        <v>563</v>
      </c>
      <c r="J152" s="3">
        <v>465488</v>
      </c>
      <c r="K152" s="3" t="str">
        <f t="shared" si="13"/>
        <v>Must Watch</v>
      </c>
      <c r="L152" s="3" t="str">
        <f t="shared" si="10"/>
        <v>Don't Watch</v>
      </c>
      <c r="M152" s="3"/>
      <c r="N152" s="3" t="str">
        <f t="shared" si="11"/>
        <v>Maybe</v>
      </c>
      <c r="O152" t="s">
        <v>564</v>
      </c>
      <c r="P152" t="b">
        <f t="shared" si="12"/>
        <v>0</v>
      </c>
    </row>
    <row r="153" spans="1:16" x14ac:dyDescent="0.25">
      <c r="A153">
        <v>152</v>
      </c>
      <c r="B153" t="s">
        <v>565</v>
      </c>
      <c r="C153">
        <v>-2010</v>
      </c>
      <c r="D153">
        <v>15</v>
      </c>
      <c r="E153" t="s">
        <v>515</v>
      </c>
      <c r="F153" t="s">
        <v>246</v>
      </c>
      <c r="G153">
        <v>8.1999999999999993</v>
      </c>
      <c r="H153">
        <v>63</v>
      </c>
      <c r="I153" t="s">
        <v>96</v>
      </c>
      <c r="J153" s="3">
        <v>1267346</v>
      </c>
      <c r="K153" s="3" t="str">
        <f t="shared" si="13"/>
        <v>Must Watch</v>
      </c>
      <c r="L153" s="3" t="str">
        <f t="shared" si="10"/>
        <v>Don't Watch</v>
      </c>
      <c r="M153" s="3"/>
      <c r="N153" s="3" t="str">
        <f t="shared" si="11"/>
        <v>Maybe</v>
      </c>
      <c r="O153" t="s">
        <v>566</v>
      </c>
      <c r="P153" t="b">
        <f t="shared" si="12"/>
        <v>0</v>
      </c>
    </row>
    <row r="154" spans="1:16" x14ac:dyDescent="0.25">
      <c r="A154">
        <v>153</v>
      </c>
      <c r="B154" t="s">
        <v>567</v>
      </c>
      <c r="C154">
        <v>-2020</v>
      </c>
      <c r="D154">
        <v>15</v>
      </c>
      <c r="E154" t="s">
        <v>232</v>
      </c>
      <c r="F154" t="s">
        <v>279</v>
      </c>
      <c r="G154">
        <v>8.1999999999999993</v>
      </c>
      <c r="H154">
        <v>72</v>
      </c>
      <c r="I154" t="s">
        <v>568</v>
      </c>
      <c r="J154" s="3">
        <v>53614</v>
      </c>
      <c r="K154" s="3" t="str">
        <f t="shared" si="13"/>
        <v>Must Watch</v>
      </c>
      <c r="L154" s="3" t="str">
        <f t="shared" si="10"/>
        <v>Don't Watch</v>
      </c>
      <c r="M154" s="3"/>
      <c r="N154" s="3" t="str">
        <f t="shared" si="11"/>
        <v>Maybe</v>
      </c>
      <c r="O154" t="s">
        <v>569</v>
      </c>
      <c r="P154" t="b">
        <f t="shared" si="12"/>
        <v>0</v>
      </c>
    </row>
    <row r="155" spans="1:16" x14ac:dyDescent="0.25">
      <c r="A155">
        <v>154</v>
      </c>
      <c r="B155" t="s">
        <v>570</v>
      </c>
      <c r="C155">
        <v>-2019</v>
      </c>
      <c r="D155">
        <v>15</v>
      </c>
      <c r="E155" t="s">
        <v>166</v>
      </c>
      <c r="F155" t="s">
        <v>20</v>
      </c>
      <c r="G155">
        <v>8.1999999999999993</v>
      </c>
      <c r="I155" t="s">
        <v>571</v>
      </c>
      <c r="J155" s="3">
        <v>47418</v>
      </c>
      <c r="K155" s="3" t="str">
        <f t="shared" si="13"/>
        <v>Must Watch</v>
      </c>
      <c r="L155" s="3" t="str">
        <f t="shared" si="10"/>
        <v>Don't Watch</v>
      </c>
      <c r="M155" s="3"/>
      <c r="N155" s="3" t="str">
        <f t="shared" si="11"/>
        <v>Maybe</v>
      </c>
      <c r="P155" t="b">
        <f t="shared" si="12"/>
        <v>0</v>
      </c>
    </row>
    <row r="156" spans="1:16" x14ac:dyDescent="0.25">
      <c r="A156">
        <v>155</v>
      </c>
      <c r="B156" t="s">
        <v>572</v>
      </c>
      <c r="C156">
        <v>-2019</v>
      </c>
      <c r="D156">
        <v>15</v>
      </c>
      <c r="E156" t="s">
        <v>108</v>
      </c>
      <c r="F156" t="s">
        <v>56</v>
      </c>
      <c r="G156">
        <v>8.1999999999999993</v>
      </c>
      <c r="I156" t="s">
        <v>573</v>
      </c>
      <c r="J156" s="3">
        <v>32926</v>
      </c>
      <c r="K156" s="3" t="str">
        <f t="shared" si="13"/>
        <v>Must Watch</v>
      </c>
      <c r="L156" s="3" t="str">
        <f t="shared" si="10"/>
        <v>Don't Watch</v>
      </c>
      <c r="M156" s="3"/>
      <c r="N156" s="3" t="str">
        <f t="shared" si="11"/>
        <v>Maybe</v>
      </c>
      <c r="P156" t="b">
        <f t="shared" si="12"/>
        <v>0</v>
      </c>
    </row>
    <row r="157" spans="1:16" x14ac:dyDescent="0.25">
      <c r="A157">
        <v>156</v>
      </c>
      <c r="B157" t="s">
        <v>574</v>
      </c>
      <c r="C157" t="s">
        <v>575</v>
      </c>
      <c r="D157" t="s">
        <v>30</v>
      </c>
      <c r="E157" t="s">
        <v>576</v>
      </c>
      <c r="F157" t="s">
        <v>389</v>
      </c>
      <c r="G157">
        <v>8.1999999999999993</v>
      </c>
      <c r="H157">
        <v>88</v>
      </c>
      <c r="I157" t="s">
        <v>577</v>
      </c>
      <c r="J157" s="3">
        <v>139050</v>
      </c>
      <c r="K157" s="3" t="str">
        <f t="shared" si="13"/>
        <v>Must Watch</v>
      </c>
      <c r="L157" s="3" t="str">
        <f t="shared" si="10"/>
        <v>Don't Watch</v>
      </c>
      <c r="M157" s="3"/>
      <c r="N157" s="3" t="str">
        <f t="shared" si="11"/>
        <v>Maybe</v>
      </c>
      <c r="P157" t="b">
        <f t="shared" si="12"/>
        <v>0</v>
      </c>
    </row>
    <row r="158" spans="1:16" x14ac:dyDescent="0.25">
      <c r="A158">
        <v>157</v>
      </c>
      <c r="B158" t="s">
        <v>578</v>
      </c>
      <c r="C158">
        <v>-2013</v>
      </c>
      <c r="D158">
        <v>18</v>
      </c>
      <c r="E158" t="s">
        <v>579</v>
      </c>
      <c r="F158" t="s">
        <v>580</v>
      </c>
      <c r="G158">
        <v>8.1999999999999993</v>
      </c>
      <c r="H158">
        <v>75</v>
      </c>
      <c r="I158" t="s">
        <v>96</v>
      </c>
      <c r="J158" s="3">
        <v>1352494</v>
      </c>
      <c r="K158" s="3" t="str">
        <f t="shared" si="13"/>
        <v>Must Watch</v>
      </c>
      <c r="L158" s="3" t="str">
        <f t="shared" si="10"/>
        <v>Don't Watch</v>
      </c>
      <c r="M158" s="3"/>
      <c r="N158" s="3" t="str">
        <f t="shared" si="11"/>
        <v>Maybe</v>
      </c>
      <c r="O158" t="s">
        <v>581</v>
      </c>
      <c r="P158" t="b">
        <f t="shared" si="12"/>
        <v>0</v>
      </c>
    </row>
    <row r="159" spans="1:16" x14ac:dyDescent="0.25">
      <c r="A159">
        <v>158</v>
      </c>
      <c r="B159" t="s">
        <v>582</v>
      </c>
      <c r="C159">
        <v>-2007</v>
      </c>
      <c r="D159">
        <v>15</v>
      </c>
      <c r="E159" t="s">
        <v>268</v>
      </c>
      <c r="F159" t="s">
        <v>144</v>
      </c>
      <c r="G159">
        <v>8.1999999999999993</v>
      </c>
      <c r="H159">
        <v>92</v>
      </c>
      <c r="I159" t="s">
        <v>583</v>
      </c>
      <c r="J159" s="3">
        <v>947369</v>
      </c>
      <c r="K159" s="3" t="str">
        <f t="shared" si="13"/>
        <v>Must Watch</v>
      </c>
      <c r="L159" s="3" t="str">
        <f t="shared" si="10"/>
        <v>Don't Watch</v>
      </c>
      <c r="M159" s="3"/>
      <c r="N159" s="3" t="str">
        <f t="shared" si="11"/>
        <v>Maybe</v>
      </c>
      <c r="O159" t="s">
        <v>584</v>
      </c>
      <c r="P159" t="b">
        <f t="shared" si="12"/>
        <v>0</v>
      </c>
    </row>
    <row r="160" spans="1:16" x14ac:dyDescent="0.25">
      <c r="A160">
        <v>159</v>
      </c>
      <c r="B160" t="s">
        <v>585</v>
      </c>
      <c r="C160">
        <v>-2005</v>
      </c>
      <c r="D160" t="s">
        <v>74</v>
      </c>
      <c r="E160" t="s">
        <v>176</v>
      </c>
      <c r="F160" t="s">
        <v>399</v>
      </c>
      <c r="G160">
        <v>8.1999999999999993</v>
      </c>
      <c r="I160" t="s">
        <v>586</v>
      </c>
      <c r="J160" s="3">
        <v>85867</v>
      </c>
      <c r="K160" s="3" t="str">
        <f t="shared" si="13"/>
        <v>Must Watch</v>
      </c>
      <c r="L160" s="3" t="str">
        <f t="shared" si="10"/>
        <v>Don't Watch</v>
      </c>
      <c r="M160" s="3"/>
      <c r="N160" s="3" t="str">
        <f t="shared" si="11"/>
        <v>Maybe</v>
      </c>
      <c r="P160" t="b">
        <f t="shared" si="12"/>
        <v>0</v>
      </c>
    </row>
    <row r="161" spans="1:16" x14ac:dyDescent="0.25">
      <c r="A161">
        <v>160</v>
      </c>
      <c r="B161" t="s">
        <v>587</v>
      </c>
      <c r="C161">
        <v>-2007</v>
      </c>
      <c r="D161" t="s">
        <v>30</v>
      </c>
      <c r="E161" t="s">
        <v>272</v>
      </c>
      <c r="F161" t="s">
        <v>20</v>
      </c>
      <c r="G161">
        <v>8.1999999999999993</v>
      </c>
      <c r="H161">
        <v>93</v>
      </c>
      <c r="I161" t="s">
        <v>588</v>
      </c>
      <c r="J161" s="3">
        <v>573628</v>
      </c>
      <c r="K161" s="3" t="str">
        <f t="shared" si="13"/>
        <v>Must Watch</v>
      </c>
      <c r="L161" s="3" t="str">
        <f t="shared" si="10"/>
        <v>Don't Watch</v>
      </c>
      <c r="M161" s="3"/>
      <c r="N161" s="3" t="str">
        <f t="shared" si="11"/>
        <v>Maybe</v>
      </c>
      <c r="O161" t="s">
        <v>589</v>
      </c>
      <c r="P161" t="b">
        <f t="shared" si="12"/>
        <v>0</v>
      </c>
    </row>
    <row r="162" spans="1:16" x14ac:dyDescent="0.25">
      <c r="A162">
        <v>161</v>
      </c>
      <c r="B162" t="s">
        <v>590</v>
      </c>
      <c r="C162">
        <v>-2006</v>
      </c>
      <c r="D162">
        <v>15</v>
      </c>
      <c r="E162" t="s">
        <v>143</v>
      </c>
      <c r="F162" t="s">
        <v>591</v>
      </c>
      <c r="G162">
        <v>8.1999999999999993</v>
      </c>
      <c r="H162">
        <v>98</v>
      </c>
      <c r="I162" t="s">
        <v>592</v>
      </c>
      <c r="J162" s="3">
        <v>658930</v>
      </c>
      <c r="K162" s="3" t="str">
        <f t="shared" si="13"/>
        <v>Must Watch</v>
      </c>
      <c r="L162" s="3" t="str">
        <f t="shared" si="10"/>
        <v>Don't Watch</v>
      </c>
      <c r="M162" s="3"/>
      <c r="N162" s="3" t="str">
        <f t="shared" si="11"/>
        <v>Maybe</v>
      </c>
      <c r="O162" t="s">
        <v>593</v>
      </c>
      <c r="P162" t="b">
        <f t="shared" si="12"/>
        <v>0</v>
      </c>
    </row>
    <row r="163" spans="1:16" x14ac:dyDescent="0.25">
      <c r="A163">
        <v>162</v>
      </c>
      <c r="B163" t="s">
        <v>594</v>
      </c>
      <c r="C163">
        <v>-2005</v>
      </c>
      <c r="D163">
        <v>15</v>
      </c>
      <c r="E163" t="s">
        <v>166</v>
      </c>
      <c r="F163" t="s">
        <v>595</v>
      </c>
      <c r="G163">
        <v>8.1999999999999993</v>
      </c>
      <c r="H163">
        <v>62</v>
      </c>
      <c r="I163" t="s">
        <v>596</v>
      </c>
      <c r="J163" s="3">
        <v>1103202</v>
      </c>
      <c r="K163" s="3" t="str">
        <f t="shared" si="13"/>
        <v>Must Watch</v>
      </c>
      <c r="L163" s="3" t="str">
        <f t="shared" si="10"/>
        <v>Don't Watch</v>
      </c>
      <c r="M163" s="3"/>
      <c r="N163" s="3" t="str">
        <f t="shared" si="11"/>
        <v>Maybe</v>
      </c>
      <c r="O163" t="s">
        <v>597</v>
      </c>
      <c r="P163" t="b">
        <f t="shared" si="12"/>
        <v>0</v>
      </c>
    </row>
    <row r="164" spans="1:16" x14ac:dyDescent="0.25">
      <c r="A164">
        <v>163</v>
      </c>
      <c r="B164" t="s">
        <v>598</v>
      </c>
      <c r="C164">
        <v>-2005</v>
      </c>
      <c r="D164" t="s">
        <v>30</v>
      </c>
      <c r="E164" t="s">
        <v>561</v>
      </c>
      <c r="F164" t="s">
        <v>32</v>
      </c>
      <c r="G164">
        <v>8.1999999999999993</v>
      </c>
      <c r="H164">
        <v>70</v>
      </c>
      <c r="I164" t="s">
        <v>33</v>
      </c>
      <c r="J164" s="3">
        <v>1435095</v>
      </c>
      <c r="K164" s="3" t="str">
        <f t="shared" si="13"/>
        <v>Must Watch</v>
      </c>
      <c r="L164" s="3" t="str">
        <f t="shared" si="10"/>
        <v>Don't Watch</v>
      </c>
      <c r="M164" s="3"/>
      <c r="N164" s="3" t="str">
        <f t="shared" si="11"/>
        <v>Maybe</v>
      </c>
      <c r="O164" t="s">
        <v>599</v>
      </c>
      <c r="P164" t="b">
        <f t="shared" si="12"/>
        <v>0</v>
      </c>
    </row>
    <row r="165" spans="1:16" x14ac:dyDescent="0.25">
      <c r="A165">
        <v>164</v>
      </c>
      <c r="B165" t="s">
        <v>600</v>
      </c>
      <c r="C165">
        <v>-2004</v>
      </c>
      <c r="D165">
        <v>15</v>
      </c>
      <c r="E165" t="s">
        <v>527</v>
      </c>
      <c r="F165" t="s">
        <v>42</v>
      </c>
      <c r="G165">
        <v>8.1999999999999993</v>
      </c>
      <c r="H165">
        <v>82</v>
      </c>
      <c r="I165" t="s">
        <v>601</v>
      </c>
      <c r="J165" s="3">
        <v>351495</v>
      </c>
      <c r="K165" s="3" t="str">
        <f t="shared" si="13"/>
        <v>Must Watch</v>
      </c>
      <c r="L165" s="3" t="str">
        <f t="shared" si="10"/>
        <v>Don't Watch</v>
      </c>
      <c r="M165" s="3"/>
      <c r="N165" s="3" t="str">
        <f t="shared" si="11"/>
        <v>Maybe</v>
      </c>
      <c r="O165" t="s">
        <v>602</v>
      </c>
      <c r="P165" t="b">
        <f t="shared" si="12"/>
        <v>0</v>
      </c>
    </row>
    <row r="166" spans="1:16" x14ac:dyDescent="0.25">
      <c r="A166">
        <v>165</v>
      </c>
      <c r="B166" t="s">
        <v>603</v>
      </c>
      <c r="C166">
        <v>-2004</v>
      </c>
      <c r="D166" t="s">
        <v>49</v>
      </c>
      <c r="E166" t="s">
        <v>202</v>
      </c>
      <c r="F166" t="s">
        <v>120</v>
      </c>
      <c r="G166">
        <v>8.1999999999999993</v>
      </c>
      <c r="H166">
        <v>80</v>
      </c>
      <c r="I166" t="s">
        <v>121</v>
      </c>
      <c r="J166" s="3">
        <v>382743</v>
      </c>
      <c r="K166" s="3" t="str">
        <f t="shared" si="13"/>
        <v>Must Watch</v>
      </c>
      <c r="L166" s="3" t="str">
        <f t="shared" si="10"/>
        <v>Don't Watch</v>
      </c>
      <c r="M166" s="3"/>
      <c r="N166" s="3" t="str">
        <f t="shared" si="11"/>
        <v>Maybe</v>
      </c>
      <c r="O166" t="s">
        <v>604</v>
      </c>
      <c r="P166" t="b">
        <f t="shared" si="12"/>
        <v>0</v>
      </c>
    </row>
    <row r="167" spans="1:16" x14ac:dyDescent="0.25">
      <c r="A167">
        <v>166</v>
      </c>
      <c r="B167" t="s">
        <v>605</v>
      </c>
      <c r="C167">
        <v>-2001</v>
      </c>
      <c r="D167">
        <v>12</v>
      </c>
      <c r="E167" t="s">
        <v>309</v>
      </c>
      <c r="F167" t="s">
        <v>606</v>
      </c>
      <c r="G167">
        <v>8.1999999999999993</v>
      </c>
      <c r="H167">
        <v>72</v>
      </c>
      <c r="I167" t="s">
        <v>607</v>
      </c>
      <c r="J167" s="3">
        <v>915278</v>
      </c>
      <c r="K167" s="3" t="str">
        <f t="shared" si="13"/>
        <v>Must Watch</v>
      </c>
      <c r="L167" s="3" t="str">
        <f t="shared" si="10"/>
        <v>Don't Watch</v>
      </c>
      <c r="M167" s="3"/>
      <c r="N167" s="3" t="str">
        <f t="shared" si="11"/>
        <v>Maybe</v>
      </c>
      <c r="O167" t="s">
        <v>608</v>
      </c>
      <c r="P167" t="b">
        <f t="shared" si="12"/>
        <v>0</v>
      </c>
    </row>
    <row r="168" spans="1:16" x14ac:dyDescent="0.25">
      <c r="A168">
        <v>167</v>
      </c>
      <c r="B168" t="s">
        <v>609</v>
      </c>
      <c r="C168">
        <v>-2003</v>
      </c>
      <c r="D168">
        <v>18</v>
      </c>
      <c r="E168" t="s">
        <v>610</v>
      </c>
      <c r="F168" t="s">
        <v>32</v>
      </c>
      <c r="G168">
        <v>8.1999999999999993</v>
      </c>
      <c r="H168">
        <v>69</v>
      </c>
      <c r="I168" t="s">
        <v>60</v>
      </c>
      <c r="J168" s="3">
        <v>1089976</v>
      </c>
      <c r="K168" s="3" t="str">
        <f t="shared" si="13"/>
        <v>Must Watch</v>
      </c>
      <c r="L168" s="3" t="str">
        <f t="shared" si="10"/>
        <v>Don't Watch</v>
      </c>
      <c r="M168" s="3"/>
      <c r="N168" s="3" t="str">
        <f t="shared" si="11"/>
        <v>Maybe</v>
      </c>
      <c r="O168" t="s">
        <v>611</v>
      </c>
      <c r="P168" t="b">
        <f t="shared" si="12"/>
        <v>0</v>
      </c>
    </row>
    <row r="169" spans="1:16" x14ac:dyDescent="0.25">
      <c r="A169">
        <v>168</v>
      </c>
      <c r="B169" t="s">
        <v>612</v>
      </c>
      <c r="C169">
        <v>-2003</v>
      </c>
      <c r="D169" t="s">
        <v>49</v>
      </c>
      <c r="E169" t="s">
        <v>613</v>
      </c>
      <c r="F169" t="s">
        <v>292</v>
      </c>
      <c r="G169">
        <v>8.1999999999999993</v>
      </c>
      <c r="H169">
        <v>90</v>
      </c>
      <c r="I169" t="s">
        <v>314</v>
      </c>
      <c r="J169" s="3">
        <v>1022805</v>
      </c>
      <c r="K169" s="3" t="str">
        <f t="shared" si="13"/>
        <v>Must Watch</v>
      </c>
      <c r="L169" s="3" t="str">
        <f t="shared" si="10"/>
        <v>Don't Watch</v>
      </c>
      <c r="M169" s="3"/>
      <c r="N169" s="3" t="str">
        <f t="shared" si="11"/>
        <v>Maybe</v>
      </c>
      <c r="O169" t="s">
        <v>614</v>
      </c>
      <c r="P169" t="b">
        <f t="shared" si="12"/>
        <v>0</v>
      </c>
    </row>
    <row r="170" spans="1:16" x14ac:dyDescent="0.25">
      <c r="A170">
        <v>169</v>
      </c>
      <c r="B170" t="s">
        <v>615</v>
      </c>
      <c r="C170">
        <v>-1999</v>
      </c>
      <c r="D170">
        <v>15</v>
      </c>
      <c r="E170" t="s">
        <v>493</v>
      </c>
      <c r="F170" t="s">
        <v>317</v>
      </c>
      <c r="G170">
        <v>8.1999999999999993</v>
      </c>
      <c r="H170">
        <v>64</v>
      </c>
      <c r="I170" t="s">
        <v>616</v>
      </c>
      <c r="J170" s="3">
        <v>973632</v>
      </c>
      <c r="K170" s="3" t="str">
        <f t="shared" si="13"/>
        <v>Must Watch</v>
      </c>
      <c r="L170" s="3" t="str">
        <f t="shared" si="10"/>
        <v>Don't Watch</v>
      </c>
      <c r="M170" s="3"/>
      <c r="N170" s="3" t="str">
        <f t="shared" si="11"/>
        <v>Maybe</v>
      </c>
      <c r="O170" t="s">
        <v>617</v>
      </c>
      <c r="P170" t="b">
        <f t="shared" si="12"/>
        <v>0</v>
      </c>
    </row>
    <row r="171" spans="1:16" x14ac:dyDescent="0.25">
      <c r="A171">
        <v>170</v>
      </c>
      <c r="B171" t="s">
        <v>618</v>
      </c>
      <c r="C171">
        <v>-1998</v>
      </c>
      <c r="D171">
        <v>18</v>
      </c>
      <c r="E171" t="s">
        <v>493</v>
      </c>
      <c r="F171" t="s">
        <v>550</v>
      </c>
      <c r="G171">
        <v>8.1999999999999993</v>
      </c>
      <c r="H171">
        <v>66</v>
      </c>
      <c r="I171" t="s">
        <v>420</v>
      </c>
      <c r="J171" s="3">
        <v>573418</v>
      </c>
      <c r="K171" s="3" t="str">
        <f t="shared" si="13"/>
        <v>Must Watch</v>
      </c>
      <c r="L171" s="3" t="str">
        <f t="shared" si="10"/>
        <v>Don't Watch</v>
      </c>
      <c r="M171" s="3"/>
      <c r="N171" s="3" t="str">
        <f t="shared" si="11"/>
        <v>Maybe</v>
      </c>
      <c r="O171" t="s">
        <v>619</v>
      </c>
      <c r="P171" t="b">
        <f t="shared" si="12"/>
        <v>0</v>
      </c>
    </row>
    <row r="172" spans="1:16" x14ac:dyDescent="0.25">
      <c r="A172">
        <v>171</v>
      </c>
      <c r="B172" t="s">
        <v>620</v>
      </c>
      <c r="C172">
        <v>-1998</v>
      </c>
      <c r="D172" t="s">
        <v>74</v>
      </c>
      <c r="E172" t="s">
        <v>403</v>
      </c>
      <c r="F172" t="s">
        <v>304</v>
      </c>
      <c r="G172">
        <v>8.1999999999999993</v>
      </c>
      <c r="H172">
        <v>90</v>
      </c>
      <c r="I172" t="s">
        <v>621</v>
      </c>
      <c r="J172" s="3">
        <v>1045371</v>
      </c>
      <c r="K172" s="3" t="str">
        <f t="shared" si="13"/>
        <v>Must Watch</v>
      </c>
      <c r="L172" s="3" t="str">
        <f t="shared" si="10"/>
        <v>Don't Watch</v>
      </c>
      <c r="M172" s="3"/>
      <c r="N172" s="3" t="str">
        <f t="shared" si="11"/>
        <v>Maybe</v>
      </c>
      <c r="O172" t="s">
        <v>622</v>
      </c>
      <c r="P172" t="b">
        <f t="shared" si="12"/>
        <v>0</v>
      </c>
    </row>
    <row r="173" spans="1:16" x14ac:dyDescent="0.25">
      <c r="A173">
        <v>172</v>
      </c>
      <c r="B173" t="s">
        <v>623</v>
      </c>
      <c r="C173">
        <v>-1997</v>
      </c>
      <c r="D173">
        <v>18</v>
      </c>
      <c r="E173" t="s">
        <v>515</v>
      </c>
      <c r="F173" t="s">
        <v>56</v>
      </c>
      <c r="G173">
        <v>8.1999999999999993</v>
      </c>
      <c r="H173">
        <v>90</v>
      </c>
      <c r="I173" t="s">
        <v>624</v>
      </c>
      <c r="J173" s="3">
        <v>574228</v>
      </c>
      <c r="K173" s="3" t="str">
        <f t="shared" si="13"/>
        <v>Must Watch</v>
      </c>
      <c r="L173" s="3" t="str">
        <f t="shared" si="10"/>
        <v>Don't Watch</v>
      </c>
      <c r="M173" s="3"/>
      <c r="N173" s="3" t="str">
        <f t="shared" si="11"/>
        <v>Maybe</v>
      </c>
      <c r="O173" t="s">
        <v>625</v>
      </c>
      <c r="P173" t="b">
        <f t="shared" si="12"/>
        <v>0</v>
      </c>
    </row>
    <row r="174" spans="1:16" x14ac:dyDescent="0.25">
      <c r="A174">
        <v>173</v>
      </c>
      <c r="B174" t="s">
        <v>626</v>
      </c>
      <c r="C174">
        <v>-1997</v>
      </c>
      <c r="D174" t="s">
        <v>74</v>
      </c>
      <c r="E174" t="s">
        <v>221</v>
      </c>
      <c r="F174" t="s">
        <v>627</v>
      </c>
      <c r="G174">
        <v>8.1999999999999993</v>
      </c>
      <c r="H174">
        <v>77</v>
      </c>
      <c r="I174" t="s">
        <v>628</v>
      </c>
      <c r="J174" s="3">
        <v>73827</v>
      </c>
      <c r="K174" s="3" t="str">
        <f t="shared" si="13"/>
        <v>Must Watch</v>
      </c>
      <c r="L174" s="3" t="str">
        <f t="shared" si="10"/>
        <v>Don't Watch</v>
      </c>
      <c r="M174" s="3"/>
      <c r="N174" s="3" t="str">
        <f t="shared" si="11"/>
        <v>Maybe</v>
      </c>
      <c r="O174" t="s">
        <v>629</v>
      </c>
      <c r="P174" t="b">
        <f t="shared" si="12"/>
        <v>0</v>
      </c>
    </row>
    <row r="175" spans="1:16" x14ac:dyDescent="0.25">
      <c r="A175">
        <v>174</v>
      </c>
      <c r="B175" t="s">
        <v>630</v>
      </c>
      <c r="C175">
        <v>-1995</v>
      </c>
      <c r="D175">
        <v>18</v>
      </c>
      <c r="E175" t="s">
        <v>75</v>
      </c>
      <c r="F175" t="s">
        <v>26</v>
      </c>
      <c r="G175">
        <v>8.1999999999999993</v>
      </c>
      <c r="H175">
        <v>73</v>
      </c>
      <c r="I175" t="s">
        <v>96</v>
      </c>
      <c r="J175" s="3">
        <v>508995</v>
      </c>
      <c r="K175" s="3" t="str">
        <f t="shared" si="13"/>
        <v>Must Watch</v>
      </c>
      <c r="L175" s="3" t="str">
        <f t="shared" si="10"/>
        <v>Don't Watch</v>
      </c>
      <c r="M175" s="3"/>
      <c r="N175" s="3" t="str">
        <f t="shared" si="11"/>
        <v>Maybe</v>
      </c>
      <c r="O175" t="s">
        <v>631</v>
      </c>
      <c r="P175" t="b">
        <f t="shared" si="12"/>
        <v>0</v>
      </c>
    </row>
    <row r="176" spans="1:16" x14ac:dyDescent="0.25">
      <c r="A176">
        <v>175</v>
      </c>
      <c r="B176" t="s">
        <v>632</v>
      </c>
      <c r="C176">
        <v>-1993</v>
      </c>
      <c r="D176" t="s">
        <v>74</v>
      </c>
      <c r="E176" t="s">
        <v>136</v>
      </c>
      <c r="F176" t="s">
        <v>64</v>
      </c>
      <c r="G176">
        <v>8.1999999999999993</v>
      </c>
      <c r="H176">
        <v>68</v>
      </c>
      <c r="I176" t="s">
        <v>43</v>
      </c>
      <c r="J176" s="3">
        <v>959957</v>
      </c>
      <c r="K176" s="3" t="str">
        <f t="shared" si="13"/>
        <v>Must Watch</v>
      </c>
      <c r="L176" s="3" t="str">
        <f t="shared" si="10"/>
        <v>Don't Watch</v>
      </c>
      <c r="M176" s="3"/>
      <c r="N176" s="3" t="str">
        <f t="shared" si="11"/>
        <v>Maybe</v>
      </c>
      <c r="O176" t="s">
        <v>633</v>
      </c>
      <c r="P176" t="b">
        <f t="shared" si="12"/>
        <v>0</v>
      </c>
    </row>
    <row r="177" spans="1:16" x14ac:dyDescent="0.25">
      <c r="A177">
        <v>176</v>
      </c>
      <c r="B177" t="s">
        <v>634</v>
      </c>
      <c r="C177">
        <v>-1992</v>
      </c>
      <c r="D177">
        <v>15</v>
      </c>
      <c r="E177" t="s">
        <v>108</v>
      </c>
      <c r="F177" t="s">
        <v>296</v>
      </c>
      <c r="G177">
        <v>8.1999999999999993</v>
      </c>
      <c r="H177">
        <v>85</v>
      </c>
      <c r="I177" t="s">
        <v>635</v>
      </c>
      <c r="J177" s="3">
        <v>405789</v>
      </c>
      <c r="K177" s="3" t="str">
        <f t="shared" si="13"/>
        <v>Must Watch</v>
      </c>
      <c r="L177" s="3" t="str">
        <f t="shared" si="10"/>
        <v>Don't Watch</v>
      </c>
      <c r="M177" s="3"/>
      <c r="N177" s="3" t="str">
        <f t="shared" si="11"/>
        <v>Maybe</v>
      </c>
      <c r="O177" t="s">
        <v>636</v>
      </c>
      <c r="P177" t="b">
        <f t="shared" si="12"/>
        <v>0</v>
      </c>
    </row>
    <row r="178" spans="1:16" x14ac:dyDescent="0.25">
      <c r="A178">
        <v>177</v>
      </c>
      <c r="B178" t="s">
        <v>637</v>
      </c>
      <c r="C178">
        <v>-1989</v>
      </c>
      <c r="D178" t="s">
        <v>74</v>
      </c>
      <c r="E178" t="s">
        <v>136</v>
      </c>
      <c r="F178" t="s">
        <v>343</v>
      </c>
      <c r="G178">
        <v>8.1999999999999993</v>
      </c>
      <c r="H178">
        <v>65</v>
      </c>
      <c r="I178" t="s">
        <v>43</v>
      </c>
      <c r="J178" s="3">
        <v>741550</v>
      </c>
      <c r="K178" s="3" t="str">
        <f t="shared" si="13"/>
        <v>Must Watch</v>
      </c>
      <c r="L178" s="3" t="str">
        <f t="shared" si="10"/>
        <v>Don't Watch</v>
      </c>
      <c r="M178" s="3"/>
      <c r="N178" s="3" t="str">
        <f t="shared" si="11"/>
        <v>Maybe</v>
      </c>
      <c r="O178" t="s">
        <v>638</v>
      </c>
      <c r="P178" t="b">
        <f t="shared" si="12"/>
        <v>0</v>
      </c>
    </row>
    <row r="179" spans="1:16" x14ac:dyDescent="0.25">
      <c r="A179">
        <v>178</v>
      </c>
      <c r="B179" t="s">
        <v>639</v>
      </c>
      <c r="C179">
        <v>-1988</v>
      </c>
      <c r="D179">
        <v>18</v>
      </c>
      <c r="E179" t="s">
        <v>166</v>
      </c>
      <c r="F179" t="s">
        <v>640</v>
      </c>
      <c r="G179">
        <v>8.1999999999999993</v>
      </c>
      <c r="H179">
        <v>72</v>
      </c>
      <c r="I179" t="s">
        <v>641</v>
      </c>
      <c r="J179" s="3">
        <v>860895</v>
      </c>
      <c r="K179" s="3" t="str">
        <f t="shared" si="13"/>
        <v>Must Watch</v>
      </c>
      <c r="L179" s="3" t="str">
        <f t="shared" si="10"/>
        <v>Don't Watch</v>
      </c>
      <c r="M179" s="3"/>
      <c r="N179" s="3" t="str">
        <f t="shared" si="11"/>
        <v>Maybe</v>
      </c>
      <c r="O179" t="s">
        <v>642</v>
      </c>
      <c r="P179" t="b">
        <f t="shared" si="12"/>
        <v>0</v>
      </c>
    </row>
    <row r="180" spans="1:16" x14ac:dyDescent="0.25">
      <c r="A180">
        <v>179</v>
      </c>
      <c r="B180" t="s">
        <v>643</v>
      </c>
      <c r="C180">
        <v>-1985</v>
      </c>
      <c r="D180">
        <v>15</v>
      </c>
      <c r="E180" t="s">
        <v>644</v>
      </c>
      <c r="F180" t="s">
        <v>512</v>
      </c>
      <c r="G180">
        <v>8.1999999999999993</v>
      </c>
      <c r="H180">
        <v>96</v>
      </c>
      <c r="I180" t="s">
        <v>157</v>
      </c>
      <c r="J180" s="3">
        <v>123909</v>
      </c>
      <c r="K180" s="3" t="str">
        <f t="shared" si="13"/>
        <v>Must Watch</v>
      </c>
      <c r="L180" s="3" t="str">
        <f t="shared" si="10"/>
        <v>Don't Watch</v>
      </c>
      <c r="M180" s="3"/>
      <c r="N180" s="3" t="str">
        <f t="shared" si="11"/>
        <v>Maybe</v>
      </c>
      <c r="O180" t="s">
        <v>645</v>
      </c>
      <c r="P180" t="b">
        <f t="shared" si="12"/>
        <v>0</v>
      </c>
    </row>
    <row r="181" spans="1:16" x14ac:dyDescent="0.25">
      <c r="A181">
        <v>180</v>
      </c>
      <c r="B181" t="s">
        <v>646</v>
      </c>
      <c r="C181">
        <v>-1982</v>
      </c>
      <c r="D181" t="s">
        <v>24</v>
      </c>
      <c r="E181" t="s">
        <v>241</v>
      </c>
      <c r="F181" t="s">
        <v>647</v>
      </c>
      <c r="G181">
        <v>8.1999999999999993</v>
      </c>
      <c r="H181">
        <v>57</v>
      </c>
      <c r="I181" t="s">
        <v>648</v>
      </c>
      <c r="J181" s="3">
        <v>412323</v>
      </c>
      <c r="K181" s="3" t="str">
        <f t="shared" si="13"/>
        <v>Must Watch</v>
      </c>
      <c r="L181" s="3" t="str">
        <f t="shared" si="10"/>
        <v>Don't Watch</v>
      </c>
      <c r="M181" s="3"/>
      <c r="N181" s="3" t="str">
        <f t="shared" si="11"/>
        <v>Maybe</v>
      </c>
      <c r="O181" t="s">
        <v>649</v>
      </c>
      <c r="P181" t="b">
        <f t="shared" si="12"/>
        <v>0</v>
      </c>
    </row>
    <row r="182" spans="1:16" x14ac:dyDescent="0.25">
      <c r="A182">
        <v>181</v>
      </c>
      <c r="B182" t="s">
        <v>650</v>
      </c>
      <c r="C182">
        <v>-1980</v>
      </c>
      <c r="D182" t="s">
        <v>24</v>
      </c>
      <c r="E182" t="s">
        <v>452</v>
      </c>
      <c r="F182" t="s">
        <v>542</v>
      </c>
      <c r="G182">
        <v>8.1999999999999993</v>
      </c>
      <c r="H182">
        <v>89</v>
      </c>
      <c r="I182" t="s">
        <v>96</v>
      </c>
      <c r="J182" s="3">
        <v>347837</v>
      </c>
      <c r="K182" s="3" t="str">
        <f t="shared" si="13"/>
        <v>Must Watch</v>
      </c>
      <c r="L182" s="3" t="str">
        <f t="shared" si="10"/>
        <v>Don't Watch</v>
      </c>
      <c r="M182" s="3"/>
      <c r="N182" s="3" t="str">
        <f t="shared" si="11"/>
        <v>Maybe</v>
      </c>
      <c r="O182" t="s">
        <v>651</v>
      </c>
      <c r="P182" t="b">
        <f t="shared" si="12"/>
        <v>0</v>
      </c>
    </row>
    <row r="183" spans="1:16" x14ac:dyDescent="0.25">
      <c r="A183">
        <v>182</v>
      </c>
      <c r="B183" t="s">
        <v>652</v>
      </c>
      <c r="C183">
        <v>-1980</v>
      </c>
      <c r="D183" t="s">
        <v>236</v>
      </c>
      <c r="E183" t="s">
        <v>99</v>
      </c>
      <c r="F183" t="s">
        <v>606</v>
      </c>
      <c r="G183">
        <v>8.1999999999999993</v>
      </c>
      <c r="H183">
        <v>78</v>
      </c>
      <c r="I183" t="s">
        <v>653</v>
      </c>
      <c r="J183" s="3">
        <v>237902</v>
      </c>
      <c r="K183" s="3" t="str">
        <f t="shared" si="13"/>
        <v>Must Watch</v>
      </c>
      <c r="L183" s="3" t="str">
        <f t="shared" si="10"/>
        <v>Don't Watch</v>
      </c>
      <c r="M183" s="3"/>
      <c r="N183" s="3" t="str">
        <f t="shared" si="11"/>
        <v>Maybe</v>
      </c>
      <c r="P183" t="b">
        <f t="shared" si="12"/>
        <v>0</v>
      </c>
    </row>
    <row r="184" spans="1:16" x14ac:dyDescent="0.25">
      <c r="A184">
        <v>183</v>
      </c>
      <c r="B184" t="s">
        <v>654</v>
      </c>
      <c r="C184">
        <v>-1976</v>
      </c>
      <c r="D184" t="s">
        <v>24</v>
      </c>
      <c r="E184" t="s">
        <v>655</v>
      </c>
      <c r="F184" t="s">
        <v>26</v>
      </c>
      <c r="G184">
        <v>8.1999999999999993</v>
      </c>
      <c r="H184">
        <v>94</v>
      </c>
      <c r="I184" t="s">
        <v>96</v>
      </c>
      <c r="J184" s="3">
        <v>803975</v>
      </c>
      <c r="K184" s="3" t="str">
        <f t="shared" si="13"/>
        <v>Must Watch</v>
      </c>
      <c r="L184" s="3" t="str">
        <f t="shared" si="10"/>
        <v>Don't Watch</v>
      </c>
      <c r="M184" s="3"/>
      <c r="N184" s="3" t="str">
        <f t="shared" si="11"/>
        <v>Maybe</v>
      </c>
      <c r="O184" t="s">
        <v>656</v>
      </c>
      <c r="P184" t="b">
        <f t="shared" si="12"/>
        <v>0</v>
      </c>
    </row>
    <row r="185" spans="1:16" x14ac:dyDescent="0.25">
      <c r="A185">
        <v>184</v>
      </c>
      <c r="B185" t="s">
        <v>657</v>
      </c>
      <c r="C185">
        <v>-1975</v>
      </c>
      <c r="D185">
        <v>15</v>
      </c>
      <c r="E185" t="s">
        <v>658</v>
      </c>
      <c r="F185" t="s">
        <v>659</v>
      </c>
      <c r="G185">
        <v>8.1999999999999993</v>
      </c>
      <c r="H185">
        <v>91</v>
      </c>
      <c r="I185" t="s">
        <v>660</v>
      </c>
      <c r="J185" s="3">
        <v>533793</v>
      </c>
      <c r="K185" s="3" t="str">
        <f t="shared" si="13"/>
        <v>Must Watch</v>
      </c>
      <c r="L185" s="3" t="str">
        <f t="shared" si="10"/>
        <v>Don't Watch</v>
      </c>
      <c r="M185" s="3"/>
      <c r="N185" s="3" t="str">
        <f t="shared" si="11"/>
        <v>Maybe</v>
      </c>
      <c r="O185" t="s">
        <v>661</v>
      </c>
      <c r="P185" t="b">
        <f t="shared" si="12"/>
        <v>0</v>
      </c>
    </row>
    <row r="186" spans="1:16" x14ac:dyDescent="0.25">
      <c r="A186">
        <v>185</v>
      </c>
      <c r="B186" t="s">
        <v>662</v>
      </c>
      <c r="C186">
        <v>-1975</v>
      </c>
      <c r="D186" t="s">
        <v>49</v>
      </c>
      <c r="E186" t="s">
        <v>19</v>
      </c>
      <c r="F186" t="s">
        <v>466</v>
      </c>
      <c r="G186">
        <v>8.1999999999999993</v>
      </c>
      <c r="I186" t="s">
        <v>157</v>
      </c>
      <c r="J186" s="3">
        <v>28759</v>
      </c>
      <c r="K186" s="3" t="str">
        <f t="shared" si="13"/>
        <v>Must Watch</v>
      </c>
      <c r="L186" s="3" t="str">
        <f t="shared" si="10"/>
        <v>Don't Watch</v>
      </c>
      <c r="M186" s="3"/>
      <c r="N186" s="3" t="str">
        <f t="shared" si="11"/>
        <v>Maybe</v>
      </c>
      <c r="P186" t="b">
        <f t="shared" si="12"/>
        <v>0</v>
      </c>
    </row>
    <row r="187" spans="1:16" x14ac:dyDescent="0.25">
      <c r="A187">
        <v>186</v>
      </c>
      <c r="B187" t="s">
        <v>663</v>
      </c>
      <c r="C187">
        <v>-1974</v>
      </c>
      <c r="D187" t="s">
        <v>24</v>
      </c>
      <c r="E187" t="s">
        <v>108</v>
      </c>
      <c r="F187" t="s">
        <v>317</v>
      </c>
      <c r="G187">
        <v>8.1999999999999993</v>
      </c>
      <c r="H187">
        <v>92</v>
      </c>
      <c r="I187" t="s">
        <v>195</v>
      </c>
      <c r="J187" s="3">
        <v>321365</v>
      </c>
      <c r="K187" s="3" t="str">
        <f t="shared" si="13"/>
        <v>Must Watch</v>
      </c>
      <c r="L187" s="3" t="str">
        <f t="shared" si="10"/>
        <v>Don't Watch</v>
      </c>
      <c r="M187" s="3"/>
      <c r="N187" s="3" t="str">
        <f t="shared" si="11"/>
        <v>Maybe</v>
      </c>
      <c r="O187" t="s">
        <v>664</v>
      </c>
      <c r="P187" t="b">
        <f t="shared" si="12"/>
        <v>0</v>
      </c>
    </row>
    <row r="188" spans="1:16" x14ac:dyDescent="0.25">
      <c r="A188">
        <v>187</v>
      </c>
      <c r="B188" t="s">
        <v>665</v>
      </c>
      <c r="C188">
        <v>-1969</v>
      </c>
      <c r="D188" t="s">
        <v>155</v>
      </c>
      <c r="E188" t="s">
        <v>136</v>
      </c>
      <c r="F188" t="s">
        <v>144</v>
      </c>
      <c r="G188">
        <v>8.1999999999999993</v>
      </c>
      <c r="H188">
        <v>86</v>
      </c>
      <c r="I188" t="s">
        <v>666</v>
      </c>
      <c r="J188" s="3">
        <v>28461</v>
      </c>
      <c r="K188" s="3" t="str">
        <f t="shared" si="13"/>
        <v>Must Watch</v>
      </c>
      <c r="L188" s="3" t="str">
        <f t="shared" si="10"/>
        <v>Don't Watch</v>
      </c>
      <c r="M188" s="3"/>
      <c r="N188" s="3" t="str">
        <f t="shared" si="11"/>
        <v>Maybe</v>
      </c>
      <c r="O188" t="s">
        <v>667</v>
      </c>
      <c r="P188" t="b">
        <f t="shared" si="12"/>
        <v>0</v>
      </c>
    </row>
    <row r="189" spans="1:16" x14ac:dyDescent="0.25">
      <c r="A189">
        <v>188</v>
      </c>
      <c r="B189" t="s">
        <v>668</v>
      </c>
      <c r="C189">
        <v>-1965</v>
      </c>
      <c r="D189" t="s">
        <v>24</v>
      </c>
      <c r="E189" t="s">
        <v>166</v>
      </c>
      <c r="F189" t="s">
        <v>238</v>
      </c>
      <c r="G189">
        <v>8.1999999999999993</v>
      </c>
      <c r="H189">
        <v>74</v>
      </c>
      <c r="I189" t="s">
        <v>83</v>
      </c>
      <c r="J189" s="3">
        <v>252663</v>
      </c>
      <c r="K189" s="3" t="str">
        <f t="shared" si="13"/>
        <v>Must Watch</v>
      </c>
      <c r="L189" s="3" t="str">
        <f t="shared" si="10"/>
        <v>Don't Watch</v>
      </c>
      <c r="M189" s="3"/>
      <c r="N189" s="3" t="str">
        <f t="shared" si="11"/>
        <v>Maybe</v>
      </c>
      <c r="O189" t="s">
        <v>669</v>
      </c>
      <c r="P189" t="b">
        <f t="shared" si="12"/>
        <v>0</v>
      </c>
    </row>
    <row r="190" spans="1:16" x14ac:dyDescent="0.25">
      <c r="A190">
        <v>189</v>
      </c>
      <c r="B190" t="s">
        <v>670</v>
      </c>
      <c r="C190">
        <v>-1963</v>
      </c>
      <c r="D190" t="s">
        <v>74</v>
      </c>
      <c r="E190" t="s">
        <v>671</v>
      </c>
      <c r="F190" t="s">
        <v>672</v>
      </c>
      <c r="G190">
        <v>8.1999999999999993</v>
      </c>
      <c r="H190">
        <v>86</v>
      </c>
      <c r="I190" t="s">
        <v>673</v>
      </c>
      <c r="J190" s="3">
        <v>241672</v>
      </c>
      <c r="K190" s="3" t="str">
        <f t="shared" si="13"/>
        <v>Must Watch</v>
      </c>
      <c r="L190" s="3" t="str">
        <f t="shared" si="10"/>
        <v>Don't Watch</v>
      </c>
      <c r="M190" s="3"/>
      <c r="N190" s="3" t="str">
        <f t="shared" si="11"/>
        <v>Maybe</v>
      </c>
      <c r="O190" t="s">
        <v>674</v>
      </c>
      <c r="P190" t="b">
        <f t="shared" si="12"/>
        <v>0</v>
      </c>
    </row>
    <row r="191" spans="1:16" x14ac:dyDescent="0.25">
      <c r="A191">
        <v>190</v>
      </c>
      <c r="B191" t="s">
        <v>675</v>
      </c>
      <c r="C191">
        <v>-1961</v>
      </c>
      <c r="D191" t="s">
        <v>155</v>
      </c>
      <c r="E191" t="s">
        <v>209</v>
      </c>
      <c r="F191" t="s">
        <v>676</v>
      </c>
      <c r="G191">
        <v>8.1999999999999993</v>
      </c>
      <c r="H191">
        <v>93</v>
      </c>
      <c r="I191" t="s">
        <v>157</v>
      </c>
      <c r="J191" s="3">
        <v>121384</v>
      </c>
      <c r="K191" s="3" t="str">
        <f t="shared" si="13"/>
        <v>Must Watch</v>
      </c>
      <c r="L191" s="3" t="str">
        <f t="shared" si="10"/>
        <v>Don't Watch</v>
      </c>
      <c r="M191" s="3"/>
      <c r="N191" s="3" t="str">
        <f t="shared" si="11"/>
        <v>Maybe</v>
      </c>
      <c r="P191" t="b">
        <f t="shared" si="12"/>
        <v>0</v>
      </c>
    </row>
    <row r="192" spans="1:16" x14ac:dyDescent="0.25">
      <c r="A192">
        <v>191</v>
      </c>
      <c r="B192" t="s">
        <v>677</v>
      </c>
      <c r="C192">
        <v>-1959</v>
      </c>
      <c r="D192" t="s">
        <v>155</v>
      </c>
      <c r="E192" t="s">
        <v>148</v>
      </c>
      <c r="F192" t="s">
        <v>678</v>
      </c>
      <c r="G192">
        <v>8.1999999999999993</v>
      </c>
      <c r="H192">
        <v>98</v>
      </c>
      <c r="I192" t="s">
        <v>360</v>
      </c>
      <c r="J192" s="3">
        <v>263326</v>
      </c>
      <c r="K192" s="3" t="str">
        <f t="shared" si="13"/>
        <v>Must Watch</v>
      </c>
      <c r="L192" s="3" t="str">
        <f t="shared" si="10"/>
        <v>Don't Watch</v>
      </c>
      <c r="M192" s="3"/>
      <c r="N192" s="3" t="str">
        <f t="shared" si="11"/>
        <v>Must Watch</v>
      </c>
      <c r="O192" t="s">
        <v>679</v>
      </c>
      <c r="P192" t="b">
        <f t="shared" si="12"/>
        <v>0</v>
      </c>
    </row>
    <row r="193" spans="1:16" x14ac:dyDescent="0.25">
      <c r="A193">
        <v>192</v>
      </c>
      <c r="B193" t="s">
        <v>680</v>
      </c>
      <c r="C193">
        <v>-1957</v>
      </c>
      <c r="D193" t="s">
        <v>49</v>
      </c>
      <c r="E193" t="s">
        <v>376</v>
      </c>
      <c r="F193" t="s">
        <v>406</v>
      </c>
      <c r="G193">
        <v>8.1999999999999993</v>
      </c>
      <c r="H193">
        <v>87</v>
      </c>
      <c r="I193" t="s">
        <v>467</v>
      </c>
      <c r="J193" s="3">
        <v>218151</v>
      </c>
      <c r="K193" s="3" t="str">
        <f t="shared" si="13"/>
        <v>Must Watch</v>
      </c>
      <c r="L193" s="3" t="str">
        <f t="shared" si="10"/>
        <v>Don't Watch</v>
      </c>
      <c r="M193" s="3"/>
      <c r="N193" s="3" t="str">
        <f t="shared" si="11"/>
        <v>Maybe</v>
      </c>
      <c r="O193" t="s">
        <v>681</v>
      </c>
      <c r="P193" t="b">
        <f t="shared" si="12"/>
        <v>0</v>
      </c>
    </row>
    <row r="194" spans="1:16" x14ac:dyDescent="0.25">
      <c r="A194">
        <v>193</v>
      </c>
      <c r="B194" t="s">
        <v>682</v>
      </c>
      <c r="C194">
        <v>-1954</v>
      </c>
      <c r="D194" t="s">
        <v>74</v>
      </c>
      <c r="E194" t="s">
        <v>291</v>
      </c>
      <c r="F194" t="s">
        <v>683</v>
      </c>
      <c r="G194">
        <v>8.1999999999999993</v>
      </c>
      <c r="H194">
        <v>75</v>
      </c>
      <c r="I194" t="s">
        <v>243</v>
      </c>
      <c r="J194" s="3">
        <v>173256</v>
      </c>
      <c r="K194" s="3" t="str">
        <f t="shared" si="13"/>
        <v>Must Watch</v>
      </c>
      <c r="L194" s="3" t="str">
        <f t="shared" si="10"/>
        <v>Don't Watch</v>
      </c>
      <c r="M194" s="3"/>
      <c r="N194" s="3" t="str">
        <f t="shared" si="11"/>
        <v>Maybe</v>
      </c>
      <c r="O194" t="s">
        <v>684</v>
      </c>
      <c r="P194" t="b">
        <f t="shared" si="12"/>
        <v>0</v>
      </c>
    </row>
    <row r="195" spans="1:16" x14ac:dyDescent="0.25">
      <c r="A195">
        <v>194</v>
      </c>
      <c r="B195" t="s">
        <v>685</v>
      </c>
      <c r="C195">
        <v>-1953</v>
      </c>
      <c r="D195" t="s">
        <v>49</v>
      </c>
      <c r="E195" t="s">
        <v>89</v>
      </c>
      <c r="F195" t="s">
        <v>20</v>
      </c>
      <c r="G195">
        <v>8.1999999999999993</v>
      </c>
      <c r="I195" t="s">
        <v>686</v>
      </c>
      <c r="J195" s="3">
        <v>60752</v>
      </c>
      <c r="K195" s="3" t="str">
        <f t="shared" si="13"/>
        <v>Must Watch</v>
      </c>
      <c r="L195" s="3" t="str">
        <f t="shared" ref="L195:L258" si="14">IF(G195=9,"Must Watch",IF(G195=8,"Maybe","Don't Watch"))</f>
        <v>Don't Watch</v>
      </c>
      <c r="M195" s="3"/>
      <c r="N195" s="3" t="str">
        <f t="shared" ref="N195:N258" si="15">IF(I195="Billy Wilder", "Must Watch", IF(I195="John Ford", "Watch", "Maybe"))</f>
        <v>Maybe</v>
      </c>
      <c r="P195" t="b">
        <f t="shared" ref="P195:P258" si="16">ISNUMBER(B:B)</f>
        <v>0</v>
      </c>
    </row>
    <row r="196" spans="1:16" x14ac:dyDescent="0.25">
      <c r="A196">
        <v>195</v>
      </c>
      <c r="B196" t="s">
        <v>687</v>
      </c>
      <c r="C196">
        <v>-1953</v>
      </c>
      <c r="D196" t="s">
        <v>155</v>
      </c>
      <c r="E196" t="s">
        <v>388</v>
      </c>
      <c r="F196" t="s">
        <v>688</v>
      </c>
      <c r="G196">
        <v>8.1999999999999993</v>
      </c>
      <c r="H196">
        <v>85</v>
      </c>
      <c r="I196" t="s">
        <v>689</v>
      </c>
      <c r="J196" s="3">
        <v>60435</v>
      </c>
      <c r="K196" s="3" t="str">
        <f t="shared" si="13"/>
        <v>Must Watch</v>
      </c>
      <c r="L196" s="3" t="str">
        <f t="shared" si="14"/>
        <v>Don't Watch</v>
      </c>
      <c r="M196" s="3"/>
      <c r="N196" s="3" t="str">
        <f t="shared" si="15"/>
        <v>Maybe</v>
      </c>
      <c r="P196" t="b">
        <f t="shared" si="16"/>
        <v>0</v>
      </c>
    </row>
    <row r="197" spans="1:16" x14ac:dyDescent="0.25">
      <c r="A197">
        <v>196</v>
      </c>
      <c r="B197" t="s">
        <v>690</v>
      </c>
      <c r="C197">
        <v>-1952</v>
      </c>
      <c r="D197" t="s">
        <v>155</v>
      </c>
      <c r="E197" t="s">
        <v>221</v>
      </c>
      <c r="F197" t="s">
        <v>20</v>
      </c>
      <c r="G197">
        <v>8.1999999999999993</v>
      </c>
      <c r="H197">
        <v>92</v>
      </c>
      <c r="I197" t="s">
        <v>490</v>
      </c>
      <c r="J197" s="3">
        <v>25649</v>
      </c>
      <c r="K197" s="3" t="str">
        <f t="shared" si="13"/>
        <v>Must Watch</v>
      </c>
      <c r="L197" s="3" t="str">
        <f t="shared" si="14"/>
        <v>Don't Watch</v>
      </c>
      <c r="M197" s="3"/>
      <c r="N197" s="3" t="str">
        <f t="shared" si="15"/>
        <v>Maybe</v>
      </c>
      <c r="O197" t="s">
        <v>691</v>
      </c>
      <c r="P197" t="b">
        <f t="shared" si="16"/>
        <v>0</v>
      </c>
    </row>
    <row r="198" spans="1:16" x14ac:dyDescent="0.25">
      <c r="A198">
        <v>197</v>
      </c>
      <c r="B198" t="s">
        <v>692</v>
      </c>
      <c r="C198">
        <v>-1950</v>
      </c>
      <c r="D198" t="s">
        <v>24</v>
      </c>
      <c r="E198" t="s">
        <v>213</v>
      </c>
      <c r="F198" t="s">
        <v>56</v>
      </c>
      <c r="G198">
        <v>8.1999999999999993</v>
      </c>
      <c r="H198">
        <v>98</v>
      </c>
      <c r="I198" t="s">
        <v>157</v>
      </c>
      <c r="J198" s="3">
        <v>166218</v>
      </c>
      <c r="K198" s="3" t="str">
        <f t="shared" si="13"/>
        <v>Must Watch</v>
      </c>
      <c r="L198" s="3" t="str">
        <f t="shared" si="14"/>
        <v>Don't Watch</v>
      </c>
      <c r="M198" s="3"/>
      <c r="N198" s="3" t="str">
        <f t="shared" si="15"/>
        <v>Maybe</v>
      </c>
      <c r="O198" t="s">
        <v>693</v>
      </c>
      <c r="P198" t="b">
        <f t="shared" si="16"/>
        <v>0</v>
      </c>
    </row>
    <row r="199" spans="1:16" x14ac:dyDescent="0.25">
      <c r="A199">
        <v>198</v>
      </c>
      <c r="B199" t="s">
        <v>694</v>
      </c>
      <c r="C199">
        <v>-1950</v>
      </c>
      <c r="D199" t="s">
        <v>155</v>
      </c>
      <c r="E199" t="s">
        <v>515</v>
      </c>
      <c r="F199" t="s">
        <v>20</v>
      </c>
      <c r="G199">
        <v>8.1999999999999993</v>
      </c>
      <c r="H199">
        <v>98</v>
      </c>
      <c r="I199" t="s">
        <v>695</v>
      </c>
      <c r="J199" s="3">
        <v>130033</v>
      </c>
      <c r="K199" s="3" t="str">
        <f t="shared" ref="K199:K262" si="17">IF(G199&lt;7.9, "Don't Watch", IF(G199&gt;8, "Must Watch", "Maybe"))</f>
        <v>Must Watch</v>
      </c>
      <c r="L199" s="3" t="str">
        <f t="shared" si="14"/>
        <v>Don't Watch</v>
      </c>
      <c r="M199" s="3"/>
      <c r="N199" s="3" t="str">
        <f t="shared" si="15"/>
        <v>Maybe</v>
      </c>
      <c r="O199" t="s">
        <v>684</v>
      </c>
      <c r="P199" t="b">
        <f t="shared" si="16"/>
        <v>0</v>
      </c>
    </row>
    <row r="200" spans="1:16" x14ac:dyDescent="0.25">
      <c r="A200">
        <v>199</v>
      </c>
      <c r="B200" t="s">
        <v>696</v>
      </c>
      <c r="C200">
        <v>-1948</v>
      </c>
      <c r="D200" t="s">
        <v>155</v>
      </c>
      <c r="E200" t="s">
        <v>263</v>
      </c>
      <c r="F200" t="s">
        <v>697</v>
      </c>
      <c r="G200">
        <v>8.1999999999999993</v>
      </c>
      <c r="H200">
        <v>98</v>
      </c>
      <c r="I200" t="s">
        <v>698</v>
      </c>
      <c r="J200" s="3">
        <v>123600</v>
      </c>
      <c r="K200" s="3" t="str">
        <f t="shared" si="17"/>
        <v>Must Watch</v>
      </c>
      <c r="L200" s="3" t="str">
        <f t="shared" si="14"/>
        <v>Don't Watch</v>
      </c>
      <c r="M200" s="3"/>
      <c r="N200" s="3" t="str">
        <f t="shared" si="15"/>
        <v>Maybe</v>
      </c>
      <c r="O200" t="s">
        <v>699</v>
      </c>
      <c r="P200" t="b">
        <f t="shared" si="16"/>
        <v>0</v>
      </c>
    </row>
    <row r="201" spans="1:16" x14ac:dyDescent="0.25">
      <c r="A201">
        <v>200</v>
      </c>
      <c r="B201" t="s">
        <v>700</v>
      </c>
      <c r="C201">
        <v>-1942</v>
      </c>
      <c r="D201" t="s">
        <v>49</v>
      </c>
      <c r="E201" t="s">
        <v>436</v>
      </c>
      <c r="F201" t="s">
        <v>701</v>
      </c>
      <c r="G201">
        <v>8.1999999999999993</v>
      </c>
      <c r="H201">
        <v>86</v>
      </c>
      <c r="I201" t="s">
        <v>702</v>
      </c>
      <c r="J201" s="3">
        <v>36424</v>
      </c>
      <c r="K201" s="3" t="str">
        <f t="shared" si="17"/>
        <v>Must Watch</v>
      </c>
      <c r="L201" s="3" t="str">
        <f t="shared" si="14"/>
        <v>Don't Watch</v>
      </c>
      <c r="M201" s="3"/>
      <c r="N201" s="3" t="str">
        <f t="shared" si="15"/>
        <v>Maybe</v>
      </c>
      <c r="P201" t="b">
        <f t="shared" si="16"/>
        <v>0</v>
      </c>
    </row>
    <row r="202" spans="1:16" x14ac:dyDescent="0.25">
      <c r="A202">
        <v>201</v>
      </c>
      <c r="B202" t="s">
        <v>703</v>
      </c>
      <c r="C202">
        <v>-1939</v>
      </c>
      <c r="D202" t="s">
        <v>74</v>
      </c>
      <c r="E202" t="s">
        <v>704</v>
      </c>
      <c r="F202" t="s">
        <v>250</v>
      </c>
      <c r="G202">
        <v>8.1999999999999993</v>
      </c>
      <c r="H202">
        <v>97</v>
      </c>
      <c r="I202" t="s">
        <v>705</v>
      </c>
      <c r="J202" s="3">
        <v>311501</v>
      </c>
      <c r="K202" s="3" t="str">
        <f t="shared" si="17"/>
        <v>Must Watch</v>
      </c>
      <c r="L202" s="3" t="str">
        <f t="shared" si="14"/>
        <v>Don't Watch</v>
      </c>
      <c r="M202" s="3"/>
      <c r="N202" s="3" t="str">
        <f t="shared" si="15"/>
        <v>Maybe</v>
      </c>
      <c r="O202" t="s">
        <v>706</v>
      </c>
      <c r="P202" t="b">
        <f t="shared" si="16"/>
        <v>0</v>
      </c>
    </row>
    <row r="203" spans="1:16" x14ac:dyDescent="0.25">
      <c r="A203">
        <v>202</v>
      </c>
      <c r="B203" t="s">
        <v>707</v>
      </c>
      <c r="C203">
        <v>-1928</v>
      </c>
      <c r="D203" t="s">
        <v>155</v>
      </c>
      <c r="E203" t="s">
        <v>209</v>
      </c>
      <c r="F203" t="s">
        <v>42</v>
      </c>
      <c r="G203">
        <v>8.1999999999999993</v>
      </c>
      <c r="I203" t="s">
        <v>708</v>
      </c>
      <c r="J203" s="3">
        <v>53938</v>
      </c>
      <c r="K203" s="3" t="str">
        <f t="shared" si="17"/>
        <v>Must Watch</v>
      </c>
      <c r="L203" s="3" t="str">
        <f t="shared" si="14"/>
        <v>Don't Watch</v>
      </c>
      <c r="M203" s="3"/>
      <c r="N203" s="3" t="str">
        <f t="shared" si="15"/>
        <v>Maybe</v>
      </c>
      <c r="O203" t="s">
        <v>258</v>
      </c>
      <c r="P203" t="b">
        <f t="shared" si="16"/>
        <v>0</v>
      </c>
    </row>
    <row r="204" spans="1:16" x14ac:dyDescent="0.25">
      <c r="A204">
        <v>203</v>
      </c>
      <c r="B204" t="s">
        <v>709</v>
      </c>
      <c r="C204">
        <v>-1926</v>
      </c>
      <c r="D204" t="s">
        <v>49</v>
      </c>
      <c r="E204" t="s">
        <v>710</v>
      </c>
      <c r="F204" t="s">
        <v>371</v>
      </c>
      <c r="G204">
        <v>8.1999999999999993</v>
      </c>
      <c r="I204" t="s">
        <v>711</v>
      </c>
      <c r="J204" s="3">
        <v>90328</v>
      </c>
      <c r="K204" s="3" t="str">
        <f t="shared" si="17"/>
        <v>Must Watch</v>
      </c>
      <c r="L204" s="3" t="str">
        <f t="shared" si="14"/>
        <v>Don't Watch</v>
      </c>
      <c r="M204" s="3"/>
      <c r="N204" s="3" t="str">
        <f t="shared" si="15"/>
        <v>Maybe</v>
      </c>
      <c r="O204" t="s">
        <v>712</v>
      </c>
      <c r="P204" t="b">
        <f t="shared" si="16"/>
        <v>0</v>
      </c>
    </row>
    <row r="205" spans="1:16" x14ac:dyDescent="0.25">
      <c r="A205">
        <v>204</v>
      </c>
      <c r="B205" t="s">
        <v>713</v>
      </c>
      <c r="C205">
        <v>-1925</v>
      </c>
      <c r="D205" t="s">
        <v>49</v>
      </c>
      <c r="E205" t="s">
        <v>356</v>
      </c>
      <c r="F205" t="s">
        <v>714</v>
      </c>
      <c r="G205">
        <v>8.1999999999999993</v>
      </c>
      <c r="I205" t="s">
        <v>255</v>
      </c>
      <c r="J205" s="3">
        <v>110119</v>
      </c>
      <c r="K205" s="3" t="str">
        <f t="shared" si="17"/>
        <v>Must Watch</v>
      </c>
      <c r="L205" s="3" t="str">
        <f t="shared" si="14"/>
        <v>Don't Watch</v>
      </c>
      <c r="M205" s="3"/>
      <c r="N205" s="3" t="str">
        <f t="shared" si="15"/>
        <v>Maybe</v>
      </c>
      <c r="O205" t="s">
        <v>509</v>
      </c>
      <c r="P205" t="b">
        <f t="shared" si="16"/>
        <v>0</v>
      </c>
    </row>
    <row r="206" spans="1:16" x14ac:dyDescent="0.25">
      <c r="A206">
        <v>205</v>
      </c>
      <c r="B206" t="s">
        <v>715</v>
      </c>
      <c r="C206">
        <v>-1924</v>
      </c>
      <c r="D206" t="s">
        <v>49</v>
      </c>
      <c r="E206" t="s">
        <v>716</v>
      </c>
      <c r="F206" t="s">
        <v>717</v>
      </c>
      <c r="G206">
        <v>8.1999999999999993</v>
      </c>
      <c r="I206" t="s">
        <v>718</v>
      </c>
      <c r="J206" s="3">
        <v>48922</v>
      </c>
      <c r="K206" s="3" t="str">
        <f t="shared" si="17"/>
        <v>Must Watch</v>
      </c>
      <c r="L206" s="3" t="str">
        <f t="shared" si="14"/>
        <v>Don't Watch</v>
      </c>
      <c r="M206" s="3"/>
      <c r="N206" s="3" t="str">
        <f t="shared" si="15"/>
        <v>Maybe</v>
      </c>
      <c r="O206" t="s">
        <v>719</v>
      </c>
      <c r="P206" t="b">
        <f t="shared" si="16"/>
        <v>0</v>
      </c>
    </row>
    <row r="207" spans="1:16" x14ac:dyDescent="0.25">
      <c r="A207">
        <v>206</v>
      </c>
      <c r="B207" t="s">
        <v>720</v>
      </c>
      <c r="C207">
        <v>-2019</v>
      </c>
      <c r="D207">
        <v>15</v>
      </c>
      <c r="E207" t="s">
        <v>268</v>
      </c>
      <c r="F207" t="s">
        <v>78</v>
      </c>
      <c r="G207">
        <v>8.1</v>
      </c>
      <c r="H207">
        <v>95</v>
      </c>
      <c r="I207" t="s">
        <v>721</v>
      </c>
      <c r="J207" s="3">
        <v>87181</v>
      </c>
      <c r="K207" s="3" t="str">
        <f t="shared" si="17"/>
        <v>Must Watch</v>
      </c>
      <c r="L207" s="3" t="str">
        <f t="shared" si="14"/>
        <v>Don't Watch</v>
      </c>
      <c r="M207" s="3"/>
      <c r="N207" s="3" t="str">
        <f t="shared" si="15"/>
        <v>Maybe</v>
      </c>
      <c r="O207" t="s">
        <v>722</v>
      </c>
      <c r="P207" t="b">
        <f t="shared" si="16"/>
        <v>0</v>
      </c>
    </row>
    <row r="208" spans="1:16" x14ac:dyDescent="0.25">
      <c r="A208">
        <v>207</v>
      </c>
      <c r="B208" t="s">
        <v>723</v>
      </c>
      <c r="C208">
        <v>-2022</v>
      </c>
      <c r="D208">
        <v>15</v>
      </c>
      <c r="E208" t="s">
        <v>724</v>
      </c>
      <c r="F208" t="s">
        <v>109</v>
      </c>
      <c r="G208">
        <v>8.1</v>
      </c>
      <c r="H208">
        <v>84</v>
      </c>
      <c r="I208" t="s">
        <v>535</v>
      </c>
      <c r="J208" s="3">
        <v>80114</v>
      </c>
      <c r="K208" s="3" t="str">
        <f t="shared" si="17"/>
        <v>Must Watch</v>
      </c>
      <c r="L208" s="3" t="str">
        <f t="shared" si="14"/>
        <v>Don't Watch</v>
      </c>
      <c r="M208" s="3"/>
      <c r="N208" s="3" t="str">
        <f t="shared" si="15"/>
        <v>Maybe</v>
      </c>
      <c r="P208" t="b">
        <f t="shared" si="16"/>
        <v>0</v>
      </c>
    </row>
    <row r="209" spans="1:16" x14ac:dyDescent="0.25">
      <c r="A209">
        <v>208</v>
      </c>
      <c r="B209" t="s">
        <v>725</v>
      </c>
      <c r="C209" t="s">
        <v>726</v>
      </c>
      <c r="D209">
        <v>15</v>
      </c>
      <c r="E209" t="s">
        <v>89</v>
      </c>
      <c r="F209" t="s">
        <v>144</v>
      </c>
      <c r="G209">
        <v>8.1</v>
      </c>
      <c r="I209" t="s">
        <v>727</v>
      </c>
      <c r="J209" s="3">
        <v>44471</v>
      </c>
      <c r="K209" s="3" t="str">
        <f t="shared" si="17"/>
        <v>Must Watch</v>
      </c>
      <c r="L209" s="3" t="str">
        <f t="shared" si="14"/>
        <v>Don't Watch</v>
      </c>
      <c r="M209" s="3"/>
      <c r="N209" s="3" t="str">
        <f t="shared" si="15"/>
        <v>Maybe</v>
      </c>
      <c r="O209" t="s">
        <v>505</v>
      </c>
      <c r="P209" t="b">
        <f t="shared" si="16"/>
        <v>0</v>
      </c>
    </row>
    <row r="210" spans="1:16" x14ac:dyDescent="0.25">
      <c r="A210">
        <v>209</v>
      </c>
      <c r="B210" t="s">
        <v>728</v>
      </c>
      <c r="C210">
        <v>-2016</v>
      </c>
      <c r="D210" t="s">
        <v>30</v>
      </c>
      <c r="E210" t="s">
        <v>108</v>
      </c>
      <c r="F210" t="s">
        <v>729</v>
      </c>
      <c r="G210">
        <v>8.1</v>
      </c>
      <c r="H210">
        <v>78</v>
      </c>
      <c r="I210" t="s">
        <v>730</v>
      </c>
      <c r="J210" s="3">
        <v>76737</v>
      </c>
      <c r="K210" s="3" t="str">
        <f t="shared" si="17"/>
        <v>Must Watch</v>
      </c>
      <c r="L210" s="3" t="str">
        <f t="shared" si="14"/>
        <v>Don't Watch</v>
      </c>
      <c r="M210" s="3"/>
      <c r="N210" s="3" t="str">
        <f t="shared" si="15"/>
        <v>Maybe</v>
      </c>
      <c r="P210" t="b">
        <f t="shared" si="16"/>
        <v>0</v>
      </c>
    </row>
    <row r="211" spans="1:16" x14ac:dyDescent="0.25">
      <c r="A211">
        <v>210</v>
      </c>
      <c r="B211" t="s">
        <v>731</v>
      </c>
      <c r="C211">
        <v>-2017</v>
      </c>
      <c r="D211">
        <v>15</v>
      </c>
      <c r="E211" t="s">
        <v>342</v>
      </c>
      <c r="F211" t="s">
        <v>453</v>
      </c>
      <c r="G211">
        <v>8.1</v>
      </c>
      <c r="H211">
        <v>88</v>
      </c>
      <c r="I211" t="s">
        <v>732</v>
      </c>
      <c r="J211" s="3">
        <v>493303</v>
      </c>
      <c r="K211" s="3" t="str">
        <f t="shared" si="17"/>
        <v>Must Watch</v>
      </c>
      <c r="L211" s="3" t="str">
        <f t="shared" si="14"/>
        <v>Don't Watch</v>
      </c>
      <c r="M211" s="3"/>
      <c r="N211" s="3" t="str">
        <f t="shared" si="15"/>
        <v>Maybe</v>
      </c>
      <c r="O211" t="s">
        <v>733</v>
      </c>
      <c r="P211" t="b">
        <f t="shared" si="16"/>
        <v>0</v>
      </c>
    </row>
    <row r="212" spans="1:16" x14ac:dyDescent="0.25">
      <c r="A212">
        <v>211</v>
      </c>
      <c r="B212" t="s">
        <v>734</v>
      </c>
      <c r="C212">
        <v>-2015</v>
      </c>
      <c r="D212">
        <v>15</v>
      </c>
      <c r="E212" t="s">
        <v>166</v>
      </c>
      <c r="F212" t="s">
        <v>56</v>
      </c>
      <c r="G212">
        <v>8.1</v>
      </c>
      <c r="I212" t="s">
        <v>735</v>
      </c>
      <c r="J212" s="3">
        <v>34923</v>
      </c>
      <c r="K212" s="3" t="str">
        <f t="shared" si="17"/>
        <v>Must Watch</v>
      </c>
      <c r="L212" s="3" t="str">
        <f t="shared" si="14"/>
        <v>Don't Watch</v>
      </c>
      <c r="M212" s="3"/>
      <c r="N212" s="3" t="str">
        <f t="shared" si="15"/>
        <v>Maybe</v>
      </c>
      <c r="O212" t="s">
        <v>736</v>
      </c>
      <c r="P212" t="b">
        <f t="shared" si="16"/>
        <v>0</v>
      </c>
    </row>
    <row r="213" spans="1:16" x14ac:dyDescent="0.25">
      <c r="A213">
        <v>212</v>
      </c>
      <c r="B213" t="s">
        <v>737</v>
      </c>
      <c r="C213">
        <v>-2019</v>
      </c>
      <c r="D213" t="s">
        <v>74</v>
      </c>
      <c r="E213" t="s">
        <v>50</v>
      </c>
      <c r="F213" t="s">
        <v>292</v>
      </c>
      <c r="G213">
        <v>8.1</v>
      </c>
      <c r="H213">
        <v>65</v>
      </c>
      <c r="I213" t="s">
        <v>738</v>
      </c>
      <c r="J213" s="3">
        <v>143603</v>
      </c>
      <c r="K213" s="3" t="str">
        <f t="shared" si="17"/>
        <v>Must Watch</v>
      </c>
      <c r="L213" s="3" t="str">
        <f t="shared" si="14"/>
        <v>Don't Watch</v>
      </c>
      <c r="M213" s="3"/>
      <c r="N213" s="3" t="str">
        <f t="shared" si="15"/>
        <v>Maybe</v>
      </c>
      <c r="P213" t="b">
        <f t="shared" si="16"/>
        <v>0</v>
      </c>
    </row>
    <row r="214" spans="1:16" x14ac:dyDescent="0.25">
      <c r="A214">
        <v>213</v>
      </c>
      <c r="B214" t="s">
        <v>739</v>
      </c>
      <c r="C214">
        <v>-2015</v>
      </c>
      <c r="D214" t="s">
        <v>740</v>
      </c>
      <c r="E214" t="s">
        <v>241</v>
      </c>
      <c r="F214" t="s">
        <v>20</v>
      </c>
      <c r="G214">
        <v>8.1</v>
      </c>
      <c r="I214" t="s">
        <v>741</v>
      </c>
      <c r="J214" s="3">
        <v>27668</v>
      </c>
      <c r="K214" s="3" t="str">
        <f t="shared" si="17"/>
        <v>Must Watch</v>
      </c>
      <c r="L214" s="3" t="str">
        <f t="shared" si="14"/>
        <v>Don't Watch</v>
      </c>
      <c r="M214" s="3"/>
      <c r="N214" s="3" t="str">
        <f t="shared" si="15"/>
        <v>Maybe</v>
      </c>
      <c r="P214" t="b">
        <f t="shared" si="16"/>
        <v>0</v>
      </c>
    </row>
    <row r="215" spans="1:16" x14ac:dyDescent="0.25">
      <c r="A215">
        <v>214</v>
      </c>
      <c r="B215" t="s">
        <v>742</v>
      </c>
      <c r="C215">
        <v>-2016</v>
      </c>
      <c r="D215">
        <v>18</v>
      </c>
      <c r="E215" t="s">
        <v>94</v>
      </c>
      <c r="F215" t="s">
        <v>743</v>
      </c>
      <c r="G215">
        <v>8.1</v>
      </c>
      <c r="H215">
        <v>84</v>
      </c>
      <c r="I215" t="s">
        <v>322</v>
      </c>
      <c r="J215" s="3">
        <v>140583</v>
      </c>
      <c r="K215" s="3" t="str">
        <f t="shared" si="17"/>
        <v>Must Watch</v>
      </c>
      <c r="L215" s="3" t="str">
        <f t="shared" si="14"/>
        <v>Don't Watch</v>
      </c>
      <c r="M215" s="3"/>
      <c r="N215" s="3" t="str">
        <f t="shared" si="15"/>
        <v>Maybe</v>
      </c>
      <c r="O215" t="s">
        <v>744</v>
      </c>
      <c r="P215" t="b">
        <f t="shared" si="16"/>
        <v>0</v>
      </c>
    </row>
    <row r="216" spans="1:16" x14ac:dyDescent="0.25">
      <c r="A216">
        <v>215</v>
      </c>
      <c r="B216" t="s">
        <v>745</v>
      </c>
      <c r="C216">
        <v>-2015</v>
      </c>
      <c r="D216" t="s">
        <v>30</v>
      </c>
      <c r="E216" t="s">
        <v>537</v>
      </c>
      <c r="F216" t="s">
        <v>371</v>
      </c>
      <c r="G216">
        <v>8.1</v>
      </c>
      <c r="I216" t="s">
        <v>746</v>
      </c>
      <c r="J216" s="3">
        <v>85667</v>
      </c>
      <c r="K216" s="3" t="str">
        <f t="shared" si="17"/>
        <v>Must Watch</v>
      </c>
      <c r="L216" s="3" t="str">
        <f t="shared" si="14"/>
        <v>Don't Watch</v>
      </c>
      <c r="M216" s="3"/>
      <c r="N216" s="3" t="str">
        <f t="shared" si="15"/>
        <v>Maybe</v>
      </c>
      <c r="O216" t="s">
        <v>361</v>
      </c>
      <c r="P216" t="b">
        <f t="shared" si="16"/>
        <v>0</v>
      </c>
    </row>
    <row r="217" spans="1:16" x14ac:dyDescent="0.25">
      <c r="A217">
        <v>216</v>
      </c>
      <c r="B217" t="s">
        <v>747</v>
      </c>
      <c r="C217">
        <v>-2014</v>
      </c>
      <c r="D217">
        <v>15</v>
      </c>
      <c r="E217" t="s">
        <v>260</v>
      </c>
      <c r="F217" t="s">
        <v>32</v>
      </c>
      <c r="G217">
        <v>8.1</v>
      </c>
      <c r="I217" t="s">
        <v>748</v>
      </c>
      <c r="J217" s="3">
        <v>54695</v>
      </c>
      <c r="K217" s="3" t="str">
        <f t="shared" si="17"/>
        <v>Must Watch</v>
      </c>
      <c r="L217" s="3" t="str">
        <f t="shared" si="14"/>
        <v>Don't Watch</v>
      </c>
      <c r="M217" s="3"/>
      <c r="N217" s="3" t="str">
        <f t="shared" si="15"/>
        <v>Maybe</v>
      </c>
      <c r="O217" t="s">
        <v>511</v>
      </c>
      <c r="P217" t="b">
        <f t="shared" si="16"/>
        <v>0</v>
      </c>
    </row>
    <row r="218" spans="1:16" x14ac:dyDescent="0.25">
      <c r="A218">
        <v>217</v>
      </c>
      <c r="B218" t="s">
        <v>749</v>
      </c>
      <c r="C218">
        <v>-2013</v>
      </c>
      <c r="D218" t="s">
        <v>30</v>
      </c>
      <c r="E218" t="s">
        <v>349</v>
      </c>
      <c r="F218" t="s">
        <v>714</v>
      </c>
      <c r="G218">
        <v>8.1</v>
      </c>
      <c r="I218" t="s">
        <v>750</v>
      </c>
      <c r="J218" s="3">
        <v>65335</v>
      </c>
      <c r="K218" s="3" t="str">
        <f t="shared" si="17"/>
        <v>Must Watch</v>
      </c>
      <c r="L218" s="3" t="str">
        <f t="shared" si="14"/>
        <v>Don't Watch</v>
      </c>
      <c r="M218" s="3"/>
      <c r="N218" s="3" t="str">
        <f t="shared" si="15"/>
        <v>Maybe</v>
      </c>
      <c r="O218" t="s">
        <v>751</v>
      </c>
      <c r="P218" t="b">
        <f t="shared" si="16"/>
        <v>0</v>
      </c>
    </row>
    <row r="219" spans="1:16" x14ac:dyDescent="0.25">
      <c r="A219">
        <v>218</v>
      </c>
      <c r="B219" t="s">
        <v>752</v>
      </c>
      <c r="C219">
        <v>-2017</v>
      </c>
      <c r="D219">
        <v>15</v>
      </c>
      <c r="E219" t="s">
        <v>139</v>
      </c>
      <c r="F219" t="s">
        <v>595</v>
      </c>
      <c r="G219">
        <v>8.1</v>
      </c>
      <c r="H219">
        <v>77</v>
      </c>
      <c r="I219" t="s">
        <v>753</v>
      </c>
      <c r="J219" s="3">
        <v>736287</v>
      </c>
      <c r="K219" s="3" t="str">
        <f t="shared" si="17"/>
        <v>Must Watch</v>
      </c>
      <c r="L219" s="3" t="str">
        <f t="shared" si="14"/>
        <v>Don't Watch</v>
      </c>
      <c r="M219" s="3"/>
      <c r="N219" s="3" t="str">
        <f t="shared" si="15"/>
        <v>Maybe</v>
      </c>
      <c r="O219" t="s">
        <v>754</v>
      </c>
      <c r="P219" t="b">
        <f t="shared" si="16"/>
        <v>0</v>
      </c>
    </row>
    <row r="220" spans="1:16" x14ac:dyDescent="0.25">
      <c r="A220">
        <v>219</v>
      </c>
      <c r="B220" t="s">
        <v>755</v>
      </c>
      <c r="C220" t="s">
        <v>546</v>
      </c>
      <c r="D220">
        <v>15</v>
      </c>
      <c r="E220" t="s">
        <v>143</v>
      </c>
      <c r="F220" t="s">
        <v>756</v>
      </c>
      <c r="G220">
        <v>8.1</v>
      </c>
      <c r="H220">
        <v>86</v>
      </c>
      <c r="I220" t="s">
        <v>757</v>
      </c>
      <c r="J220" s="3">
        <v>412018</v>
      </c>
      <c r="K220" s="3" t="str">
        <f t="shared" si="17"/>
        <v>Must Watch</v>
      </c>
      <c r="L220" s="3" t="str">
        <f t="shared" si="14"/>
        <v>Don't Watch</v>
      </c>
      <c r="M220" s="3"/>
      <c r="N220" s="3" t="str">
        <f t="shared" si="15"/>
        <v>Maybe</v>
      </c>
      <c r="O220" t="s">
        <v>758</v>
      </c>
      <c r="P220" t="b">
        <f t="shared" si="16"/>
        <v>0</v>
      </c>
    </row>
    <row r="221" spans="1:16" x14ac:dyDescent="0.25">
      <c r="A221">
        <v>220</v>
      </c>
      <c r="B221" t="s">
        <v>759</v>
      </c>
      <c r="C221">
        <v>-2014</v>
      </c>
      <c r="D221">
        <v>15</v>
      </c>
      <c r="E221" t="s">
        <v>268</v>
      </c>
      <c r="F221" t="s">
        <v>167</v>
      </c>
      <c r="G221">
        <v>8.1</v>
      </c>
      <c r="H221">
        <v>77</v>
      </c>
      <c r="I221" t="s">
        <v>760</v>
      </c>
      <c r="J221" s="3">
        <v>194881</v>
      </c>
      <c r="K221" s="3" t="str">
        <f t="shared" si="17"/>
        <v>Must Watch</v>
      </c>
      <c r="L221" s="3" t="str">
        <f t="shared" si="14"/>
        <v>Don't Watch</v>
      </c>
      <c r="M221" s="3"/>
      <c r="N221" s="3" t="str">
        <f t="shared" si="15"/>
        <v>Maybe</v>
      </c>
      <c r="O221" t="s">
        <v>761</v>
      </c>
      <c r="P221" t="b">
        <f t="shared" si="16"/>
        <v>0</v>
      </c>
    </row>
    <row r="222" spans="1:16" x14ac:dyDescent="0.25">
      <c r="A222">
        <v>221</v>
      </c>
      <c r="B222" t="s">
        <v>762</v>
      </c>
      <c r="C222">
        <v>-2013</v>
      </c>
      <c r="D222">
        <v>15</v>
      </c>
      <c r="E222" t="s">
        <v>254</v>
      </c>
      <c r="F222" t="s">
        <v>124</v>
      </c>
      <c r="G222">
        <v>8.1</v>
      </c>
      <c r="H222">
        <v>73</v>
      </c>
      <c r="I222" t="s">
        <v>763</v>
      </c>
      <c r="J222" s="3">
        <v>45955</v>
      </c>
      <c r="K222" s="3" t="str">
        <f t="shared" si="17"/>
        <v>Must Watch</v>
      </c>
      <c r="L222" s="3" t="str">
        <f t="shared" si="14"/>
        <v>Don't Watch</v>
      </c>
      <c r="M222" s="3"/>
      <c r="N222" s="3" t="str">
        <f t="shared" si="15"/>
        <v>Maybe</v>
      </c>
      <c r="O222" t="s">
        <v>764</v>
      </c>
      <c r="P222" t="b">
        <f t="shared" si="16"/>
        <v>0</v>
      </c>
    </row>
    <row r="223" spans="1:16" x14ac:dyDescent="0.25">
      <c r="A223">
        <v>222</v>
      </c>
      <c r="B223" t="s">
        <v>765</v>
      </c>
      <c r="C223">
        <v>-2014</v>
      </c>
      <c r="D223" t="s">
        <v>30</v>
      </c>
      <c r="E223" t="s">
        <v>86</v>
      </c>
      <c r="F223" t="s">
        <v>766</v>
      </c>
      <c r="G223">
        <v>8.1</v>
      </c>
      <c r="I223" t="s">
        <v>305</v>
      </c>
      <c r="J223" s="3">
        <v>181028</v>
      </c>
      <c r="K223" s="3" t="str">
        <f t="shared" si="17"/>
        <v>Must Watch</v>
      </c>
      <c r="L223" s="3" t="str">
        <f t="shared" si="14"/>
        <v>Don't Watch</v>
      </c>
      <c r="M223" s="3"/>
      <c r="N223" s="3" t="str">
        <f t="shared" si="15"/>
        <v>Maybe</v>
      </c>
      <c r="O223" t="s">
        <v>767</v>
      </c>
      <c r="P223" t="b">
        <f t="shared" si="16"/>
        <v>0</v>
      </c>
    </row>
    <row r="224" spans="1:16" x14ac:dyDescent="0.25">
      <c r="A224">
        <v>223</v>
      </c>
      <c r="B224" t="s">
        <v>768</v>
      </c>
      <c r="C224">
        <v>-2012</v>
      </c>
      <c r="D224" t="s">
        <v>74</v>
      </c>
      <c r="E224" t="s">
        <v>119</v>
      </c>
      <c r="F224" t="s">
        <v>769</v>
      </c>
      <c r="G224">
        <v>8.1</v>
      </c>
      <c r="I224" t="s">
        <v>770</v>
      </c>
      <c r="J224" s="3">
        <v>57914</v>
      </c>
      <c r="K224" s="3" t="str">
        <f t="shared" si="17"/>
        <v>Must Watch</v>
      </c>
      <c r="L224" s="3" t="str">
        <f t="shared" si="14"/>
        <v>Don't Watch</v>
      </c>
      <c r="M224" s="3"/>
      <c r="N224" s="3" t="str">
        <f t="shared" si="15"/>
        <v>Maybe</v>
      </c>
      <c r="O224" t="s">
        <v>771</v>
      </c>
      <c r="P224" t="b">
        <f t="shared" si="16"/>
        <v>0</v>
      </c>
    </row>
    <row r="225" spans="1:16" x14ac:dyDescent="0.25">
      <c r="A225">
        <v>224</v>
      </c>
      <c r="B225" t="s">
        <v>772</v>
      </c>
      <c r="C225">
        <v>-2014</v>
      </c>
      <c r="D225">
        <v>15</v>
      </c>
      <c r="E225" t="s">
        <v>436</v>
      </c>
      <c r="F225" t="s">
        <v>773</v>
      </c>
      <c r="G225">
        <v>8.1</v>
      </c>
      <c r="H225">
        <v>88</v>
      </c>
      <c r="I225" t="s">
        <v>774</v>
      </c>
      <c r="J225" s="3">
        <v>786913</v>
      </c>
      <c r="K225" s="3" t="str">
        <f t="shared" si="17"/>
        <v>Must Watch</v>
      </c>
      <c r="L225" s="3" t="str">
        <f t="shared" si="14"/>
        <v>Don't Watch</v>
      </c>
      <c r="M225" s="3"/>
      <c r="N225" s="3" t="str">
        <f t="shared" si="15"/>
        <v>Maybe</v>
      </c>
      <c r="O225" t="s">
        <v>775</v>
      </c>
      <c r="P225" t="b">
        <f t="shared" si="16"/>
        <v>0</v>
      </c>
    </row>
    <row r="226" spans="1:16" x14ac:dyDescent="0.25">
      <c r="A226">
        <v>225</v>
      </c>
      <c r="B226" t="s">
        <v>776</v>
      </c>
      <c r="C226">
        <v>-2014</v>
      </c>
      <c r="D226">
        <v>18</v>
      </c>
      <c r="E226" t="s">
        <v>287</v>
      </c>
      <c r="F226" t="s">
        <v>317</v>
      </c>
      <c r="G226">
        <v>8.1</v>
      </c>
      <c r="H226">
        <v>79</v>
      </c>
      <c r="I226" t="s">
        <v>71</v>
      </c>
      <c r="J226" s="3">
        <v>957770</v>
      </c>
      <c r="K226" s="3" t="str">
        <f t="shared" si="17"/>
        <v>Must Watch</v>
      </c>
      <c r="L226" s="3" t="str">
        <f t="shared" si="14"/>
        <v>Don't Watch</v>
      </c>
      <c r="M226" s="3"/>
      <c r="N226" s="3" t="str">
        <f t="shared" si="15"/>
        <v>Maybe</v>
      </c>
      <c r="O226" t="s">
        <v>777</v>
      </c>
      <c r="P226" t="b">
        <f t="shared" si="16"/>
        <v>0</v>
      </c>
    </row>
    <row r="227" spans="1:16" x14ac:dyDescent="0.25">
      <c r="A227">
        <v>226</v>
      </c>
      <c r="B227" t="s">
        <v>778</v>
      </c>
      <c r="C227">
        <v>-2012</v>
      </c>
      <c r="D227" t="s">
        <v>74</v>
      </c>
      <c r="E227" t="s">
        <v>232</v>
      </c>
      <c r="F227" t="s">
        <v>779</v>
      </c>
      <c r="G227">
        <v>8.1</v>
      </c>
      <c r="H227">
        <v>71</v>
      </c>
      <c r="I227" t="s">
        <v>780</v>
      </c>
      <c r="J227" s="3">
        <v>44205</v>
      </c>
      <c r="K227" s="3" t="str">
        <f t="shared" si="17"/>
        <v>Must Watch</v>
      </c>
      <c r="L227" s="3" t="str">
        <f t="shared" si="14"/>
        <v>Don't Watch</v>
      </c>
      <c r="M227" s="3"/>
      <c r="N227" s="3" t="str">
        <f t="shared" si="15"/>
        <v>Maybe</v>
      </c>
      <c r="P227" t="b">
        <f t="shared" si="16"/>
        <v>0</v>
      </c>
    </row>
    <row r="228" spans="1:16" x14ac:dyDescent="0.25">
      <c r="A228">
        <v>227</v>
      </c>
      <c r="B228" t="s">
        <v>781</v>
      </c>
      <c r="C228">
        <v>-2016</v>
      </c>
      <c r="D228">
        <v>15</v>
      </c>
      <c r="E228" t="s">
        <v>70</v>
      </c>
      <c r="F228" t="s">
        <v>42</v>
      </c>
      <c r="G228">
        <v>8.1</v>
      </c>
      <c r="H228">
        <v>71</v>
      </c>
      <c r="I228" t="s">
        <v>335</v>
      </c>
      <c r="J228" s="3">
        <v>507006</v>
      </c>
      <c r="K228" s="3" t="str">
        <f t="shared" si="17"/>
        <v>Must Watch</v>
      </c>
      <c r="L228" s="3" t="str">
        <f t="shared" si="14"/>
        <v>Don't Watch</v>
      </c>
      <c r="M228" s="3"/>
      <c r="N228" s="3" t="str">
        <f t="shared" si="15"/>
        <v>Maybe</v>
      </c>
      <c r="O228" t="s">
        <v>782</v>
      </c>
      <c r="P228" t="b">
        <f t="shared" si="16"/>
        <v>0</v>
      </c>
    </row>
    <row r="229" spans="1:16" x14ac:dyDescent="0.25">
      <c r="A229">
        <v>228</v>
      </c>
      <c r="B229" t="s">
        <v>783</v>
      </c>
      <c r="C229">
        <v>-2012</v>
      </c>
      <c r="D229" t="s">
        <v>74</v>
      </c>
      <c r="E229" t="s">
        <v>190</v>
      </c>
      <c r="F229" t="s">
        <v>132</v>
      </c>
      <c r="G229">
        <v>8.1</v>
      </c>
      <c r="I229" t="s">
        <v>784</v>
      </c>
      <c r="J229" s="3">
        <v>81100</v>
      </c>
      <c r="K229" s="3" t="str">
        <f t="shared" si="17"/>
        <v>Must Watch</v>
      </c>
      <c r="L229" s="3" t="str">
        <f t="shared" si="14"/>
        <v>Don't Watch</v>
      </c>
      <c r="M229" s="3"/>
      <c r="N229" s="3" t="str">
        <f t="shared" si="15"/>
        <v>Maybe</v>
      </c>
      <c r="O229" t="s">
        <v>785</v>
      </c>
      <c r="P229" t="b">
        <f t="shared" si="16"/>
        <v>0</v>
      </c>
    </row>
    <row r="230" spans="1:16" x14ac:dyDescent="0.25">
      <c r="A230">
        <v>229</v>
      </c>
      <c r="B230" t="s">
        <v>786</v>
      </c>
      <c r="C230">
        <v>-2013</v>
      </c>
      <c r="D230">
        <v>15</v>
      </c>
      <c r="E230" t="s">
        <v>331</v>
      </c>
      <c r="F230" t="s">
        <v>42</v>
      </c>
      <c r="G230">
        <v>8.1</v>
      </c>
      <c r="H230">
        <v>96</v>
      </c>
      <c r="I230" t="s">
        <v>787</v>
      </c>
      <c r="J230" s="3">
        <v>689163</v>
      </c>
      <c r="K230" s="3" t="str">
        <f t="shared" si="17"/>
        <v>Must Watch</v>
      </c>
      <c r="L230" s="3" t="str">
        <f t="shared" si="14"/>
        <v>Don't Watch</v>
      </c>
      <c r="M230" s="3"/>
      <c r="N230" s="3" t="str">
        <f t="shared" si="15"/>
        <v>Maybe</v>
      </c>
      <c r="O230" t="s">
        <v>788</v>
      </c>
      <c r="P230" t="b">
        <f t="shared" si="16"/>
        <v>0</v>
      </c>
    </row>
    <row r="231" spans="1:16" x14ac:dyDescent="0.25">
      <c r="A231">
        <v>230</v>
      </c>
      <c r="B231" t="s">
        <v>789</v>
      </c>
      <c r="C231" t="s">
        <v>790</v>
      </c>
      <c r="D231">
        <v>15</v>
      </c>
      <c r="E231" t="s">
        <v>384</v>
      </c>
      <c r="F231" t="s">
        <v>310</v>
      </c>
      <c r="G231">
        <v>8.1</v>
      </c>
      <c r="H231">
        <v>74</v>
      </c>
      <c r="I231" t="s">
        <v>607</v>
      </c>
      <c r="J231" s="3">
        <v>471326</v>
      </c>
      <c r="K231" s="3" t="str">
        <f t="shared" si="17"/>
        <v>Must Watch</v>
      </c>
      <c r="L231" s="3" t="str">
        <f t="shared" si="14"/>
        <v>Don't Watch</v>
      </c>
      <c r="M231" s="3"/>
      <c r="N231" s="3" t="str">
        <f t="shared" si="15"/>
        <v>Maybe</v>
      </c>
      <c r="O231" t="s">
        <v>791</v>
      </c>
      <c r="P231" t="b">
        <f t="shared" si="16"/>
        <v>0</v>
      </c>
    </row>
    <row r="232" spans="1:16" x14ac:dyDescent="0.25">
      <c r="A232">
        <v>231</v>
      </c>
      <c r="B232" t="s">
        <v>792</v>
      </c>
      <c r="C232">
        <v>-2019</v>
      </c>
      <c r="D232" t="s">
        <v>30</v>
      </c>
      <c r="E232" t="s">
        <v>31</v>
      </c>
      <c r="F232" t="s">
        <v>310</v>
      </c>
      <c r="G232">
        <v>8.1</v>
      </c>
      <c r="H232">
        <v>81</v>
      </c>
      <c r="I232" t="s">
        <v>753</v>
      </c>
      <c r="J232" s="3">
        <v>372439</v>
      </c>
      <c r="K232" s="3" t="str">
        <f t="shared" si="17"/>
        <v>Must Watch</v>
      </c>
      <c r="L232" s="3" t="str">
        <f t="shared" si="14"/>
        <v>Don't Watch</v>
      </c>
      <c r="M232" s="3"/>
      <c r="N232" s="3" t="str">
        <f t="shared" si="15"/>
        <v>Maybe</v>
      </c>
      <c r="O232" t="s">
        <v>793</v>
      </c>
      <c r="P232" t="b">
        <f t="shared" si="16"/>
        <v>0</v>
      </c>
    </row>
    <row r="233" spans="1:16" x14ac:dyDescent="0.25">
      <c r="A233">
        <v>232</v>
      </c>
      <c r="B233" t="s">
        <v>794</v>
      </c>
      <c r="C233" t="s">
        <v>546</v>
      </c>
      <c r="D233">
        <v>15</v>
      </c>
      <c r="E233" t="s">
        <v>452</v>
      </c>
      <c r="F233" t="s">
        <v>95</v>
      </c>
      <c r="G233">
        <v>8.1</v>
      </c>
      <c r="H233">
        <v>93</v>
      </c>
      <c r="I233" t="s">
        <v>795</v>
      </c>
      <c r="J233" s="3">
        <v>461669</v>
      </c>
      <c r="K233" s="3" t="str">
        <f t="shared" si="17"/>
        <v>Must Watch</v>
      </c>
      <c r="L233" s="3" t="str">
        <f t="shared" si="14"/>
        <v>Don't Watch</v>
      </c>
      <c r="M233" s="3"/>
      <c r="N233" s="3" t="str">
        <f t="shared" si="15"/>
        <v>Maybe</v>
      </c>
      <c r="O233" t="s">
        <v>796</v>
      </c>
      <c r="P233" t="b">
        <f t="shared" si="16"/>
        <v>0</v>
      </c>
    </row>
    <row r="234" spans="1:16" x14ac:dyDescent="0.25">
      <c r="A234">
        <v>233</v>
      </c>
      <c r="B234" t="s">
        <v>797</v>
      </c>
      <c r="C234">
        <v>-2012</v>
      </c>
      <c r="D234">
        <v>15</v>
      </c>
      <c r="E234" t="s">
        <v>268</v>
      </c>
      <c r="F234" t="s">
        <v>246</v>
      </c>
      <c r="G234">
        <v>8.1</v>
      </c>
      <c r="I234" t="s">
        <v>798</v>
      </c>
      <c r="J234" s="3">
        <v>62446</v>
      </c>
      <c r="K234" s="3" t="str">
        <f t="shared" si="17"/>
        <v>Must Watch</v>
      </c>
      <c r="L234" s="3" t="str">
        <f t="shared" si="14"/>
        <v>Don't Watch</v>
      </c>
      <c r="M234" s="3"/>
      <c r="N234" s="3" t="str">
        <f t="shared" si="15"/>
        <v>Maybe</v>
      </c>
      <c r="O234" t="s">
        <v>799</v>
      </c>
      <c r="P234" t="b">
        <f t="shared" si="16"/>
        <v>0</v>
      </c>
    </row>
    <row r="235" spans="1:16" x14ac:dyDescent="0.25">
      <c r="A235">
        <v>234</v>
      </c>
      <c r="B235" t="s">
        <v>800</v>
      </c>
      <c r="C235">
        <v>-2010</v>
      </c>
      <c r="D235" t="s">
        <v>740</v>
      </c>
      <c r="E235" t="s">
        <v>331</v>
      </c>
      <c r="F235" t="s">
        <v>20</v>
      </c>
      <c r="G235">
        <v>8.1</v>
      </c>
      <c r="I235" t="s">
        <v>801</v>
      </c>
      <c r="J235" s="3">
        <v>44852</v>
      </c>
      <c r="K235" s="3" t="str">
        <f t="shared" si="17"/>
        <v>Must Watch</v>
      </c>
      <c r="L235" s="3" t="str">
        <f t="shared" si="14"/>
        <v>Don't Watch</v>
      </c>
      <c r="M235" s="3"/>
      <c r="N235" s="3" t="str">
        <f t="shared" si="15"/>
        <v>Maybe</v>
      </c>
      <c r="O235" t="s">
        <v>684</v>
      </c>
      <c r="P235" t="b">
        <f t="shared" si="16"/>
        <v>0</v>
      </c>
    </row>
    <row r="236" spans="1:16" x14ac:dyDescent="0.25">
      <c r="A236">
        <v>235</v>
      </c>
      <c r="B236" t="s">
        <v>802</v>
      </c>
      <c r="C236">
        <v>-2011</v>
      </c>
      <c r="D236" t="s">
        <v>74</v>
      </c>
      <c r="E236" t="s">
        <v>198</v>
      </c>
      <c r="F236" t="s">
        <v>803</v>
      </c>
      <c r="G236">
        <v>8.1</v>
      </c>
      <c r="I236" t="s">
        <v>804</v>
      </c>
      <c r="J236" s="3">
        <v>76522</v>
      </c>
      <c r="K236" s="3" t="str">
        <f t="shared" si="17"/>
        <v>Must Watch</v>
      </c>
      <c r="L236" s="3" t="str">
        <f t="shared" si="14"/>
        <v>Don't Watch</v>
      </c>
      <c r="M236" s="3"/>
      <c r="N236" s="3" t="str">
        <f t="shared" si="15"/>
        <v>Maybe</v>
      </c>
      <c r="O236" t="s">
        <v>761</v>
      </c>
      <c r="P236" t="b">
        <f t="shared" si="16"/>
        <v>0</v>
      </c>
    </row>
    <row r="237" spans="1:16" x14ac:dyDescent="0.25">
      <c r="A237">
        <v>236</v>
      </c>
      <c r="B237" t="s">
        <v>805</v>
      </c>
      <c r="C237">
        <v>-2011</v>
      </c>
      <c r="D237" t="s">
        <v>30</v>
      </c>
      <c r="E237" t="s">
        <v>349</v>
      </c>
      <c r="F237" t="s">
        <v>20</v>
      </c>
      <c r="G237">
        <v>8.1</v>
      </c>
      <c r="H237">
        <v>62</v>
      </c>
      <c r="I237" t="s">
        <v>806</v>
      </c>
      <c r="J237" s="3">
        <v>452138</v>
      </c>
      <c r="K237" s="3" t="str">
        <f t="shared" si="17"/>
        <v>Must Watch</v>
      </c>
      <c r="L237" s="3" t="str">
        <f t="shared" si="14"/>
        <v>Don't Watch</v>
      </c>
      <c r="M237" s="3"/>
      <c r="N237" s="3" t="str">
        <f t="shared" si="15"/>
        <v>Maybe</v>
      </c>
      <c r="O237" t="s">
        <v>807</v>
      </c>
      <c r="P237" t="b">
        <f t="shared" si="16"/>
        <v>0</v>
      </c>
    </row>
    <row r="238" spans="1:16" x14ac:dyDescent="0.25">
      <c r="A238">
        <v>237</v>
      </c>
      <c r="B238" t="s">
        <v>808</v>
      </c>
      <c r="C238">
        <v>-2013</v>
      </c>
      <c r="D238">
        <v>15</v>
      </c>
      <c r="E238" t="s">
        <v>86</v>
      </c>
      <c r="F238" t="s">
        <v>56</v>
      </c>
      <c r="G238">
        <v>8.1</v>
      </c>
      <c r="H238">
        <v>70</v>
      </c>
      <c r="I238" t="s">
        <v>390</v>
      </c>
      <c r="J238" s="3">
        <v>686045</v>
      </c>
      <c r="K238" s="3" t="str">
        <f t="shared" si="17"/>
        <v>Must Watch</v>
      </c>
      <c r="L238" s="3" t="str">
        <f t="shared" si="14"/>
        <v>Don't Watch</v>
      </c>
      <c r="M238" s="3"/>
      <c r="N238" s="3" t="str">
        <f t="shared" si="15"/>
        <v>Maybe</v>
      </c>
      <c r="O238" t="s">
        <v>809</v>
      </c>
      <c r="P238" t="b">
        <f t="shared" si="16"/>
        <v>0</v>
      </c>
    </row>
    <row r="239" spans="1:16" x14ac:dyDescent="0.25">
      <c r="A239">
        <v>238</v>
      </c>
      <c r="B239" t="s">
        <v>810</v>
      </c>
      <c r="C239">
        <v>-2015</v>
      </c>
      <c r="D239">
        <v>15</v>
      </c>
      <c r="E239" t="s">
        <v>811</v>
      </c>
      <c r="F239" t="s">
        <v>64</v>
      </c>
      <c r="G239">
        <v>8.1</v>
      </c>
      <c r="H239">
        <v>90</v>
      </c>
      <c r="I239" t="s">
        <v>812</v>
      </c>
      <c r="J239" s="3">
        <v>975684</v>
      </c>
      <c r="K239" s="3" t="str">
        <f t="shared" si="17"/>
        <v>Must Watch</v>
      </c>
      <c r="L239" s="3" t="str">
        <f t="shared" si="14"/>
        <v>Don't Watch</v>
      </c>
      <c r="M239" s="3"/>
      <c r="N239" s="3" t="str">
        <f t="shared" si="15"/>
        <v>Maybe</v>
      </c>
      <c r="O239" t="s">
        <v>813</v>
      </c>
      <c r="P239" t="b">
        <f t="shared" si="16"/>
        <v>0</v>
      </c>
    </row>
    <row r="240" spans="1:16" x14ac:dyDescent="0.25">
      <c r="A240">
        <v>239</v>
      </c>
      <c r="B240" t="s">
        <v>814</v>
      </c>
      <c r="C240">
        <v>-2008</v>
      </c>
      <c r="D240">
        <v>15</v>
      </c>
      <c r="E240" t="s">
        <v>418</v>
      </c>
      <c r="F240" t="s">
        <v>32</v>
      </c>
      <c r="G240">
        <v>8.1</v>
      </c>
      <c r="I240" t="s">
        <v>815</v>
      </c>
      <c r="J240" s="3">
        <v>78129</v>
      </c>
      <c r="K240" s="3" t="str">
        <f t="shared" si="17"/>
        <v>Must Watch</v>
      </c>
      <c r="L240" s="3" t="str">
        <f t="shared" si="14"/>
        <v>Don't Watch</v>
      </c>
      <c r="M240" s="3"/>
      <c r="N240" s="3" t="str">
        <f t="shared" si="15"/>
        <v>Maybe</v>
      </c>
      <c r="P240" t="b">
        <f t="shared" si="16"/>
        <v>0</v>
      </c>
    </row>
    <row r="241" spans="1:16" x14ac:dyDescent="0.25">
      <c r="A241">
        <v>240</v>
      </c>
      <c r="B241" t="s">
        <v>816</v>
      </c>
      <c r="C241">
        <v>-2008</v>
      </c>
      <c r="D241">
        <v>15</v>
      </c>
      <c r="E241" t="s">
        <v>131</v>
      </c>
      <c r="F241" t="s">
        <v>20</v>
      </c>
      <c r="G241">
        <v>8.1</v>
      </c>
      <c r="H241">
        <v>72</v>
      </c>
      <c r="I241" t="s">
        <v>635</v>
      </c>
      <c r="J241" s="3">
        <v>764837</v>
      </c>
      <c r="K241" s="3" t="str">
        <f t="shared" si="17"/>
        <v>Must Watch</v>
      </c>
      <c r="L241" s="3" t="str">
        <f t="shared" si="14"/>
        <v>Don't Watch</v>
      </c>
      <c r="M241" s="3"/>
      <c r="N241" s="3" t="str">
        <f t="shared" si="15"/>
        <v>Maybe</v>
      </c>
      <c r="O241" t="s">
        <v>817</v>
      </c>
      <c r="P241" t="b">
        <f t="shared" si="16"/>
        <v>0</v>
      </c>
    </row>
    <row r="242" spans="1:16" x14ac:dyDescent="0.25">
      <c r="A242">
        <v>241</v>
      </c>
      <c r="B242" t="s">
        <v>818</v>
      </c>
      <c r="C242">
        <v>-2011</v>
      </c>
      <c r="D242" t="s">
        <v>30</v>
      </c>
      <c r="E242" t="s">
        <v>108</v>
      </c>
      <c r="F242" t="s">
        <v>819</v>
      </c>
      <c r="G242">
        <v>8.1</v>
      </c>
      <c r="H242">
        <v>85</v>
      </c>
      <c r="I242" t="s">
        <v>820</v>
      </c>
      <c r="J242" s="3">
        <v>852274</v>
      </c>
      <c r="K242" s="3" t="str">
        <f t="shared" si="17"/>
        <v>Must Watch</v>
      </c>
      <c r="L242" s="3" t="str">
        <f t="shared" si="14"/>
        <v>Don't Watch</v>
      </c>
      <c r="M242" s="3"/>
      <c r="N242" s="3" t="str">
        <f t="shared" si="15"/>
        <v>Maybe</v>
      </c>
      <c r="O242" t="s">
        <v>821</v>
      </c>
      <c r="P242" t="b">
        <f t="shared" si="16"/>
        <v>0</v>
      </c>
    </row>
    <row r="243" spans="1:16" x14ac:dyDescent="0.25">
      <c r="A243">
        <v>242</v>
      </c>
      <c r="B243" t="s">
        <v>822</v>
      </c>
      <c r="C243">
        <v>-2009</v>
      </c>
      <c r="D243" t="s">
        <v>49</v>
      </c>
      <c r="E243" t="s">
        <v>823</v>
      </c>
      <c r="F243" t="s">
        <v>824</v>
      </c>
      <c r="G243">
        <v>8.1</v>
      </c>
      <c r="I243" t="s">
        <v>825</v>
      </c>
      <c r="J243" s="3">
        <v>279561</v>
      </c>
      <c r="K243" s="3" t="str">
        <f t="shared" si="17"/>
        <v>Must Watch</v>
      </c>
      <c r="L243" s="3" t="str">
        <f t="shared" si="14"/>
        <v>Don't Watch</v>
      </c>
      <c r="M243" s="3"/>
      <c r="N243" s="3" t="str">
        <f t="shared" si="15"/>
        <v>Maybe</v>
      </c>
      <c r="P243" t="b">
        <f t="shared" si="16"/>
        <v>0</v>
      </c>
    </row>
    <row r="244" spans="1:16" x14ac:dyDescent="0.25">
      <c r="A244">
        <v>243</v>
      </c>
      <c r="B244" t="s">
        <v>826</v>
      </c>
      <c r="C244">
        <v>-2009</v>
      </c>
      <c r="D244" t="s">
        <v>30</v>
      </c>
      <c r="E244" t="s">
        <v>827</v>
      </c>
      <c r="F244" t="s">
        <v>828</v>
      </c>
      <c r="G244">
        <v>8.1</v>
      </c>
      <c r="I244" t="s">
        <v>829</v>
      </c>
      <c r="J244" s="3">
        <v>175621</v>
      </c>
      <c r="K244" s="3" t="str">
        <f t="shared" si="17"/>
        <v>Must Watch</v>
      </c>
      <c r="L244" s="3" t="str">
        <f t="shared" si="14"/>
        <v>Don't Watch</v>
      </c>
      <c r="M244" s="3"/>
      <c r="N244" s="3" t="str">
        <f t="shared" si="15"/>
        <v>Maybe</v>
      </c>
      <c r="P244" t="b">
        <f t="shared" si="16"/>
        <v>0</v>
      </c>
    </row>
    <row r="245" spans="1:16" x14ac:dyDescent="0.25">
      <c r="A245">
        <v>244</v>
      </c>
      <c r="B245" t="s">
        <v>830</v>
      </c>
      <c r="C245">
        <v>-2010</v>
      </c>
      <c r="D245" t="s">
        <v>74</v>
      </c>
      <c r="E245" t="s">
        <v>313</v>
      </c>
      <c r="F245" t="s">
        <v>279</v>
      </c>
      <c r="G245">
        <v>8.1</v>
      </c>
      <c r="H245">
        <v>75</v>
      </c>
      <c r="I245" t="s">
        <v>831</v>
      </c>
      <c r="J245" s="3">
        <v>724483</v>
      </c>
      <c r="K245" s="3" t="str">
        <f t="shared" si="17"/>
        <v>Must Watch</v>
      </c>
      <c r="L245" s="3" t="str">
        <f t="shared" si="14"/>
        <v>Don't Watch</v>
      </c>
      <c r="M245" s="3"/>
      <c r="N245" s="3" t="str">
        <f t="shared" si="15"/>
        <v>Maybe</v>
      </c>
      <c r="O245" t="s">
        <v>832</v>
      </c>
      <c r="P245" t="b">
        <f t="shared" si="16"/>
        <v>0</v>
      </c>
    </row>
    <row r="246" spans="1:16" x14ac:dyDescent="0.25">
      <c r="A246">
        <v>245</v>
      </c>
      <c r="B246" t="s">
        <v>833</v>
      </c>
      <c r="C246">
        <v>-2007</v>
      </c>
      <c r="D246" t="s">
        <v>74</v>
      </c>
      <c r="E246" t="s">
        <v>86</v>
      </c>
      <c r="F246" t="s">
        <v>627</v>
      </c>
      <c r="G246">
        <v>8.1</v>
      </c>
      <c r="H246">
        <v>68</v>
      </c>
      <c r="I246" t="s">
        <v>834</v>
      </c>
      <c r="J246" s="3">
        <v>79431</v>
      </c>
      <c r="K246" s="3" t="str">
        <f t="shared" si="17"/>
        <v>Must Watch</v>
      </c>
      <c r="L246" s="3" t="str">
        <f t="shared" si="14"/>
        <v>Don't Watch</v>
      </c>
      <c r="M246" s="3"/>
      <c r="N246" s="3" t="str">
        <f t="shared" si="15"/>
        <v>Maybe</v>
      </c>
      <c r="O246" t="s">
        <v>835</v>
      </c>
      <c r="P246" t="b">
        <f t="shared" si="16"/>
        <v>0</v>
      </c>
    </row>
    <row r="247" spans="1:16" x14ac:dyDescent="0.25">
      <c r="A247">
        <v>246</v>
      </c>
      <c r="B247" t="s">
        <v>836</v>
      </c>
      <c r="C247">
        <v>-2007</v>
      </c>
      <c r="D247">
        <v>15</v>
      </c>
      <c r="E247" t="s">
        <v>63</v>
      </c>
      <c r="F247" t="s">
        <v>466</v>
      </c>
      <c r="G247">
        <v>8.1</v>
      </c>
      <c r="H247">
        <v>73</v>
      </c>
      <c r="I247" t="s">
        <v>837</v>
      </c>
      <c r="J247" s="3">
        <v>614724</v>
      </c>
      <c r="K247" s="3" t="str">
        <f t="shared" si="17"/>
        <v>Must Watch</v>
      </c>
      <c r="L247" s="3" t="str">
        <f t="shared" si="14"/>
        <v>Don't Watch</v>
      </c>
      <c r="M247" s="3"/>
      <c r="N247" s="3" t="str">
        <f t="shared" si="15"/>
        <v>Maybe</v>
      </c>
      <c r="O247" t="s">
        <v>838</v>
      </c>
      <c r="P247" t="b">
        <f t="shared" si="16"/>
        <v>0</v>
      </c>
    </row>
    <row r="248" spans="1:16" x14ac:dyDescent="0.25">
      <c r="A248">
        <v>247</v>
      </c>
      <c r="B248" t="s">
        <v>839</v>
      </c>
      <c r="C248">
        <v>-2006</v>
      </c>
      <c r="D248">
        <v>15</v>
      </c>
      <c r="E248" t="s">
        <v>534</v>
      </c>
      <c r="F248" t="s">
        <v>453</v>
      </c>
      <c r="G248">
        <v>8.1</v>
      </c>
      <c r="I248" t="s">
        <v>543</v>
      </c>
      <c r="J248" s="3">
        <v>118386</v>
      </c>
      <c r="K248" s="3" t="str">
        <f t="shared" si="17"/>
        <v>Must Watch</v>
      </c>
      <c r="L248" s="3" t="str">
        <f t="shared" si="14"/>
        <v>Don't Watch</v>
      </c>
      <c r="M248" s="3"/>
      <c r="N248" s="3" t="str">
        <f t="shared" si="15"/>
        <v>Maybe</v>
      </c>
      <c r="O248" t="s">
        <v>840</v>
      </c>
      <c r="P248" t="b">
        <f t="shared" si="16"/>
        <v>0</v>
      </c>
    </row>
    <row r="249" spans="1:16" x14ac:dyDescent="0.25">
      <c r="A249">
        <v>248</v>
      </c>
      <c r="B249" t="s">
        <v>841</v>
      </c>
      <c r="C249">
        <v>-2004</v>
      </c>
      <c r="D249" t="s">
        <v>30</v>
      </c>
      <c r="E249" t="s">
        <v>166</v>
      </c>
      <c r="F249" t="s">
        <v>842</v>
      </c>
      <c r="G249">
        <v>8.1</v>
      </c>
      <c r="H249">
        <v>86</v>
      </c>
      <c r="I249" t="s">
        <v>635</v>
      </c>
      <c r="J249" s="3">
        <v>678134</v>
      </c>
      <c r="K249" s="3" t="str">
        <f t="shared" si="17"/>
        <v>Must Watch</v>
      </c>
      <c r="L249" s="3" t="str">
        <f t="shared" si="14"/>
        <v>Don't Watch</v>
      </c>
      <c r="M249" s="3"/>
      <c r="N249" s="3" t="str">
        <f t="shared" si="15"/>
        <v>Maybe</v>
      </c>
      <c r="O249" t="s">
        <v>843</v>
      </c>
      <c r="P249" t="b">
        <f t="shared" si="16"/>
        <v>0</v>
      </c>
    </row>
    <row r="250" spans="1:16" x14ac:dyDescent="0.25">
      <c r="A250">
        <v>249</v>
      </c>
      <c r="B250" t="s">
        <v>844</v>
      </c>
      <c r="C250">
        <v>-2004</v>
      </c>
      <c r="D250" t="s">
        <v>30</v>
      </c>
      <c r="E250" t="s">
        <v>148</v>
      </c>
      <c r="F250" t="s">
        <v>42</v>
      </c>
      <c r="G250">
        <v>8.1</v>
      </c>
      <c r="H250">
        <v>79</v>
      </c>
      <c r="I250" t="s">
        <v>845</v>
      </c>
      <c r="J250" s="3">
        <v>352329</v>
      </c>
      <c r="K250" s="3" t="str">
        <f t="shared" si="17"/>
        <v>Must Watch</v>
      </c>
      <c r="L250" s="3" t="str">
        <f t="shared" si="14"/>
        <v>Don't Watch</v>
      </c>
      <c r="M250" s="3"/>
      <c r="N250" s="3" t="str">
        <f t="shared" si="15"/>
        <v>Maybe</v>
      </c>
      <c r="O250" t="s">
        <v>846</v>
      </c>
      <c r="P250" t="b">
        <f t="shared" si="16"/>
        <v>0</v>
      </c>
    </row>
    <row r="251" spans="1:16" x14ac:dyDescent="0.25">
      <c r="A251">
        <v>250</v>
      </c>
      <c r="B251" t="s">
        <v>847</v>
      </c>
      <c r="C251">
        <v>-2007</v>
      </c>
      <c r="D251" t="s">
        <v>49</v>
      </c>
      <c r="E251" t="s">
        <v>610</v>
      </c>
      <c r="F251" t="s">
        <v>292</v>
      </c>
      <c r="G251">
        <v>8.1</v>
      </c>
      <c r="H251">
        <v>96</v>
      </c>
      <c r="I251" t="s">
        <v>848</v>
      </c>
      <c r="J251" s="3">
        <v>710879</v>
      </c>
      <c r="K251" s="3" t="str">
        <f t="shared" si="17"/>
        <v>Must Watch</v>
      </c>
      <c r="L251" s="3" t="str">
        <f t="shared" si="14"/>
        <v>Don't Watch</v>
      </c>
      <c r="M251" s="3"/>
      <c r="N251" s="3" t="str">
        <f t="shared" si="15"/>
        <v>Maybe</v>
      </c>
      <c r="O251" t="s">
        <v>849</v>
      </c>
      <c r="P251" t="b">
        <f t="shared" si="16"/>
        <v>0</v>
      </c>
    </row>
    <row r="252" spans="1:16" x14ac:dyDescent="0.25">
      <c r="A252">
        <v>251</v>
      </c>
      <c r="B252" t="s">
        <v>850</v>
      </c>
      <c r="C252">
        <v>-2004</v>
      </c>
      <c r="D252">
        <v>15</v>
      </c>
      <c r="E252" t="s">
        <v>851</v>
      </c>
      <c r="F252" t="s">
        <v>78</v>
      </c>
      <c r="G252">
        <v>8.1</v>
      </c>
      <c r="H252">
        <v>90</v>
      </c>
      <c r="I252" t="s">
        <v>852</v>
      </c>
      <c r="J252" s="3">
        <v>258880</v>
      </c>
      <c r="K252" s="3" t="str">
        <f t="shared" si="17"/>
        <v>Must Watch</v>
      </c>
      <c r="L252" s="3" t="str">
        <f t="shared" si="14"/>
        <v>Don't Watch</v>
      </c>
      <c r="M252" s="3"/>
      <c r="N252" s="3" t="str">
        <f t="shared" si="15"/>
        <v>Maybe</v>
      </c>
      <c r="O252" t="s">
        <v>853</v>
      </c>
      <c r="P252" t="b">
        <f t="shared" si="16"/>
        <v>0</v>
      </c>
    </row>
    <row r="253" spans="1:16" x14ac:dyDescent="0.25">
      <c r="A253">
        <v>252</v>
      </c>
      <c r="B253" t="s">
        <v>854</v>
      </c>
      <c r="C253">
        <v>-2005</v>
      </c>
      <c r="D253" t="s">
        <v>30</v>
      </c>
      <c r="E253" t="s">
        <v>268</v>
      </c>
      <c r="F253" t="s">
        <v>20</v>
      </c>
      <c r="G253">
        <v>8.1</v>
      </c>
      <c r="I253" t="s">
        <v>855</v>
      </c>
      <c r="J253" s="3">
        <v>34835</v>
      </c>
      <c r="K253" s="3" t="str">
        <f t="shared" si="17"/>
        <v>Must Watch</v>
      </c>
      <c r="L253" s="3" t="str">
        <f t="shared" si="14"/>
        <v>Don't Watch</v>
      </c>
      <c r="M253" s="3"/>
      <c r="N253" s="3" t="str">
        <f t="shared" si="15"/>
        <v>Maybe</v>
      </c>
      <c r="O253" t="s">
        <v>856</v>
      </c>
      <c r="P253" t="b">
        <f t="shared" si="16"/>
        <v>0</v>
      </c>
    </row>
    <row r="254" spans="1:16" x14ac:dyDescent="0.25">
      <c r="A254">
        <v>253</v>
      </c>
      <c r="B254" t="s">
        <v>857</v>
      </c>
      <c r="C254">
        <v>-2003</v>
      </c>
      <c r="D254" t="s">
        <v>74</v>
      </c>
      <c r="E254" t="s">
        <v>527</v>
      </c>
      <c r="F254" t="s">
        <v>304</v>
      </c>
      <c r="G254">
        <v>8.1</v>
      </c>
      <c r="I254" t="s">
        <v>305</v>
      </c>
      <c r="J254" s="3">
        <v>80757</v>
      </c>
      <c r="K254" s="3" t="str">
        <f t="shared" si="17"/>
        <v>Must Watch</v>
      </c>
      <c r="L254" s="3" t="str">
        <f t="shared" si="14"/>
        <v>Don't Watch</v>
      </c>
      <c r="M254" s="3"/>
      <c r="N254" s="3" t="str">
        <f t="shared" si="15"/>
        <v>Maybe</v>
      </c>
      <c r="P254" t="b">
        <f t="shared" si="16"/>
        <v>0</v>
      </c>
    </row>
    <row r="255" spans="1:16" x14ac:dyDescent="0.25">
      <c r="A255">
        <v>254</v>
      </c>
      <c r="B255" t="s">
        <v>858</v>
      </c>
      <c r="C255">
        <v>-2004</v>
      </c>
      <c r="D255" t="s">
        <v>49</v>
      </c>
      <c r="E255" t="s">
        <v>859</v>
      </c>
      <c r="F255" t="s">
        <v>860</v>
      </c>
      <c r="G255">
        <v>8.1</v>
      </c>
      <c r="I255" t="s">
        <v>861</v>
      </c>
      <c r="J255" s="3">
        <v>89428</v>
      </c>
      <c r="K255" s="3" t="str">
        <f t="shared" si="17"/>
        <v>Must Watch</v>
      </c>
      <c r="L255" s="3" t="str">
        <f t="shared" si="14"/>
        <v>Don't Watch</v>
      </c>
      <c r="M255" s="3"/>
      <c r="N255" s="3" t="str">
        <f t="shared" si="15"/>
        <v>Maybe</v>
      </c>
      <c r="O255" t="s">
        <v>401</v>
      </c>
      <c r="P255" t="b">
        <f t="shared" si="16"/>
        <v>0</v>
      </c>
    </row>
    <row r="256" spans="1:16" x14ac:dyDescent="0.25">
      <c r="A256">
        <v>255</v>
      </c>
      <c r="B256" t="s">
        <v>862</v>
      </c>
      <c r="C256">
        <v>-2003</v>
      </c>
      <c r="D256">
        <v>15</v>
      </c>
      <c r="E256" t="s">
        <v>388</v>
      </c>
      <c r="F256" t="s">
        <v>56</v>
      </c>
      <c r="G256">
        <v>8.1</v>
      </c>
      <c r="H256">
        <v>82</v>
      </c>
      <c r="I256" t="s">
        <v>168</v>
      </c>
      <c r="J256" s="3">
        <v>175596</v>
      </c>
      <c r="K256" s="3" t="str">
        <f t="shared" si="17"/>
        <v>Must Watch</v>
      </c>
      <c r="L256" s="3" t="str">
        <f t="shared" si="14"/>
        <v>Don't Watch</v>
      </c>
      <c r="M256" s="3"/>
      <c r="N256" s="3" t="str">
        <f t="shared" si="15"/>
        <v>Maybe</v>
      </c>
      <c r="O256" t="s">
        <v>684</v>
      </c>
      <c r="P256" t="b">
        <f t="shared" si="16"/>
        <v>0</v>
      </c>
    </row>
    <row r="257" spans="1:16" x14ac:dyDescent="0.25">
      <c r="A257">
        <v>256</v>
      </c>
      <c r="B257" t="s">
        <v>863</v>
      </c>
      <c r="C257">
        <v>-2003</v>
      </c>
      <c r="D257" t="s">
        <v>30</v>
      </c>
      <c r="E257" t="s">
        <v>354</v>
      </c>
      <c r="F257" t="s">
        <v>100</v>
      </c>
      <c r="G257">
        <v>8.1</v>
      </c>
      <c r="H257">
        <v>63</v>
      </c>
      <c r="I257" t="s">
        <v>864</v>
      </c>
      <c r="J257" s="3">
        <v>1101240</v>
      </c>
      <c r="K257" s="3" t="str">
        <f t="shared" si="17"/>
        <v>Must Watch</v>
      </c>
      <c r="L257" s="3" t="str">
        <f t="shared" si="14"/>
        <v>Don't Watch</v>
      </c>
      <c r="M257" s="3"/>
      <c r="N257" s="3" t="str">
        <f t="shared" si="15"/>
        <v>Maybe</v>
      </c>
      <c r="O257" t="s">
        <v>865</v>
      </c>
      <c r="P257" t="b">
        <f t="shared" si="16"/>
        <v>0</v>
      </c>
    </row>
    <row r="258" spans="1:16" x14ac:dyDescent="0.25">
      <c r="A258">
        <v>257</v>
      </c>
      <c r="B258" t="s">
        <v>866</v>
      </c>
      <c r="C258">
        <v>-2001</v>
      </c>
      <c r="D258" t="s">
        <v>74</v>
      </c>
      <c r="E258" t="s">
        <v>867</v>
      </c>
      <c r="F258" t="s">
        <v>132</v>
      </c>
      <c r="G258">
        <v>8.1</v>
      </c>
      <c r="I258" t="s">
        <v>868</v>
      </c>
      <c r="J258" s="3">
        <v>71492</v>
      </c>
      <c r="K258" s="3" t="str">
        <f t="shared" si="17"/>
        <v>Must Watch</v>
      </c>
      <c r="L258" s="3" t="str">
        <f t="shared" si="14"/>
        <v>Don't Watch</v>
      </c>
      <c r="M258" s="3"/>
      <c r="N258" s="3" t="str">
        <f t="shared" si="15"/>
        <v>Maybe</v>
      </c>
      <c r="O258" t="s">
        <v>869</v>
      </c>
      <c r="P258" t="b">
        <f t="shared" si="16"/>
        <v>0</v>
      </c>
    </row>
    <row r="259" spans="1:16" x14ac:dyDescent="0.25">
      <c r="A259">
        <v>258</v>
      </c>
      <c r="B259" t="s">
        <v>870</v>
      </c>
      <c r="C259">
        <v>-2002</v>
      </c>
      <c r="D259" t="s">
        <v>30</v>
      </c>
      <c r="E259" t="s">
        <v>163</v>
      </c>
      <c r="F259" t="s">
        <v>95</v>
      </c>
      <c r="G259">
        <v>8.1</v>
      </c>
      <c r="H259">
        <v>75</v>
      </c>
      <c r="I259" t="s">
        <v>43</v>
      </c>
      <c r="J259" s="3">
        <v>946682</v>
      </c>
      <c r="K259" s="3" t="str">
        <f t="shared" si="17"/>
        <v>Must Watch</v>
      </c>
      <c r="L259" s="3" t="str">
        <f t="shared" ref="L259:L322" si="18">IF(G259=9,"Must Watch",IF(G259=8,"Maybe","Don't Watch"))</f>
        <v>Don't Watch</v>
      </c>
      <c r="M259" s="3"/>
      <c r="N259" s="3" t="str">
        <f t="shared" ref="N259:N322" si="19">IF(I259="Billy Wilder", "Must Watch", IF(I259="John Ford", "Watch", "Maybe"))</f>
        <v>Maybe</v>
      </c>
      <c r="O259" t="s">
        <v>871</v>
      </c>
      <c r="P259" t="b">
        <f t="shared" ref="P259:P322" si="20">ISNUMBER(B:B)</f>
        <v>0</v>
      </c>
    </row>
    <row r="260" spans="1:16" x14ac:dyDescent="0.25">
      <c r="A260">
        <v>259</v>
      </c>
      <c r="B260" t="s">
        <v>872</v>
      </c>
      <c r="C260">
        <v>-1998</v>
      </c>
      <c r="E260" t="s">
        <v>493</v>
      </c>
      <c r="F260" t="s">
        <v>167</v>
      </c>
      <c r="G260">
        <v>8.1</v>
      </c>
      <c r="I260" t="s">
        <v>873</v>
      </c>
      <c r="J260" s="3">
        <v>25360</v>
      </c>
      <c r="K260" s="3" t="str">
        <f t="shared" si="17"/>
        <v>Must Watch</v>
      </c>
      <c r="L260" s="3" t="str">
        <f t="shared" si="18"/>
        <v>Don't Watch</v>
      </c>
      <c r="M260" s="3"/>
      <c r="N260" s="3" t="str">
        <f t="shared" si="19"/>
        <v>Maybe</v>
      </c>
      <c r="P260" t="b">
        <f t="shared" si="20"/>
        <v>0</v>
      </c>
    </row>
    <row r="261" spans="1:16" x14ac:dyDescent="0.25">
      <c r="A261">
        <v>260</v>
      </c>
      <c r="B261" t="s">
        <v>874</v>
      </c>
      <c r="C261">
        <v>-2000</v>
      </c>
      <c r="D261">
        <v>18</v>
      </c>
      <c r="E261" t="s">
        <v>59</v>
      </c>
      <c r="F261" t="s">
        <v>756</v>
      </c>
      <c r="G261">
        <v>8.1</v>
      </c>
      <c r="H261">
        <v>83</v>
      </c>
      <c r="I261" t="s">
        <v>875</v>
      </c>
      <c r="J261" s="3">
        <v>238080</v>
      </c>
      <c r="K261" s="3" t="str">
        <f t="shared" si="17"/>
        <v>Must Watch</v>
      </c>
      <c r="L261" s="3" t="str">
        <f t="shared" si="18"/>
        <v>Don't Watch</v>
      </c>
      <c r="M261" s="3"/>
      <c r="N261" s="3" t="str">
        <f t="shared" si="19"/>
        <v>Maybe</v>
      </c>
      <c r="O261" t="s">
        <v>876</v>
      </c>
      <c r="P261" t="b">
        <f t="shared" si="20"/>
        <v>0</v>
      </c>
    </row>
    <row r="262" spans="1:16" x14ac:dyDescent="0.25">
      <c r="A262">
        <v>261</v>
      </c>
      <c r="B262" t="s">
        <v>877</v>
      </c>
      <c r="C262">
        <v>-2000</v>
      </c>
      <c r="D262">
        <v>15</v>
      </c>
      <c r="E262" t="s">
        <v>527</v>
      </c>
      <c r="F262" t="s">
        <v>550</v>
      </c>
      <c r="G262">
        <v>8.1</v>
      </c>
      <c r="I262" t="s">
        <v>878</v>
      </c>
      <c r="J262" s="3">
        <v>65563</v>
      </c>
      <c r="K262" s="3" t="str">
        <f t="shared" si="17"/>
        <v>Must Watch</v>
      </c>
      <c r="L262" s="3" t="str">
        <f t="shared" si="18"/>
        <v>Don't Watch</v>
      </c>
      <c r="M262" s="3"/>
      <c r="N262" s="3" t="str">
        <f t="shared" si="19"/>
        <v>Maybe</v>
      </c>
      <c r="P262" t="b">
        <f t="shared" si="20"/>
        <v>0</v>
      </c>
    </row>
    <row r="263" spans="1:16" x14ac:dyDescent="0.25">
      <c r="A263">
        <v>262</v>
      </c>
      <c r="B263" t="s">
        <v>879</v>
      </c>
      <c r="C263">
        <v>-1999</v>
      </c>
      <c r="D263">
        <v>18</v>
      </c>
      <c r="E263" t="s">
        <v>880</v>
      </c>
      <c r="F263" t="s">
        <v>676</v>
      </c>
      <c r="G263">
        <v>8.1</v>
      </c>
      <c r="I263" t="s">
        <v>881</v>
      </c>
      <c r="J263" s="3">
        <v>25561</v>
      </c>
      <c r="K263" s="3" t="str">
        <f t="shared" ref="K263:K326" si="21">IF(G263&lt;7.9, "Don't Watch", IF(G263&gt;8, "Must Watch", "Maybe"))</f>
        <v>Must Watch</v>
      </c>
      <c r="L263" s="3" t="str">
        <f t="shared" si="18"/>
        <v>Don't Watch</v>
      </c>
      <c r="M263" s="3"/>
      <c r="N263" s="3" t="str">
        <f t="shared" si="19"/>
        <v>Maybe</v>
      </c>
      <c r="P263" t="b">
        <f t="shared" si="20"/>
        <v>0</v>
      </c>
    </row>
    <row r="264" spans="1:16" x14ac:dyDescent="0.25">
      <c r="A264">
        <v>263</v>
      </c>
      <c r="B264" t="s">
        <v>882</v>
      </c>
      <c r="C264">
        <v>-2001</v>
      </c>
      <c r="D264" t="s">
        <v>49</v>
      </c>
      <c r="E264" t="s">
        <v>827</v>
      </c>
      <c r="F264" t="s">
        <v>292</v>
      </c>
      <c r="G264">
        <v>8.1</v>
      </c>
      <c r="H264">
        <v>79</v>
      </c>
      <c r="I264" t="s">
        <v>396</v>
      </c>
      <c r="J264" s="3">
        <v>888866</v>
      </c>
      <c r="K264" s="3" t="str">
        <f t="shared" si="21"/>
        <v>Must Watch</v>
      </c>
      <c r="L264" s="3" t="str">
        <f t="shared" si="18"/>
        <v>Don't Watch</v>
      </c>
      <c r="M264" s="3"/>
      <c r="N264" s="3" t="str">
        <f t="shared" si="19"/>
        <v>Maybe</v>
      </c>
      <c r="O264" t="s">
        <v>883</v>
      </c>
      <c r="P264" t="b">
        <f t="shared" si="20"/>
        <v>0</v>
      </c>
    </row>
    <row r="265" spans="1:16" x14ac:dyDescent="0.25">
      <c r="A265">
        <v>264</v>
      </c>
      <c r="B265" t="s">
        <v>884</v>
      </c>
      <c r="C265">
        <v>-2001</v>
      </c>
      <c r="D265" t="s">
        <v>74</v>
      </c>
      <c r="E265" t="s">
        <v>885</v>
      </c>
      <c r="F265" t="s">
        <v>886</v>
      </c>
      <c r="G265">
        <v>8.1</v>
      </c>
      <c r="H265">
        <v>84</v>
      </c>
      <c r="I265" t="s">
        <v>861</v>
      </c>
      <c r="J265" s="3">
        <v>112623</v>
      </c>
      <c r="K265" s="3" t="str">
        <f t="shared" si="21"/>
        <v>Must Watch</v>
      </c>
      <c r="L265" s="3" t="str">
        <f t="shared" si="18"/>
        <v>Don't Watch</v>
      </c>
      <c r="M265" s="3"/>
      <c r="N265" s="3" t="str">
        <f t="shared" si="19"/>
        <v>Maybe</v>
      </c>
      <c r="O265" t="s">
        <v>691</v>
      </c>
      <c r="P265" t="b">
        <f t="shared" si="20"/>
        <v>0</v>
      </c>
    </row>
    <row r="266" spans="1:16" x14ac:dyDescent="0.25">
      <c r="A266">
        <v>265</v>
      </c>
      <c r="B266" t="s">
        <v>887</v>
      </c>
      <c r="C266">
        <v>-1998</v>
      </c>
      <c r="D266">
        <v>15</v>
      </c>
      <c r="E266" t="s">
        <v>291</v>
      </c>
      <c r="F266" t="s">
        <v>20</v>
      </c>
      <c r="G266">
        <v>8.1</v>
      </c>
      <c r="H266">
        <v>82</v>
      </c>
      <c r="I266" t="s">
        <v>381</v>
      </c>
      <c r="J266" s="3">
        <v>86337</v>
      </c>
      <c r="K266" s="3" t="str">
        <f t="shared" si="21"/>
        <v>Must Watch</v>
      </c>
      <c r="L266" s="3" t="str">
        <f t="shared" si="18"/>
        <v>Don't Watch</v>
      </c>
      <c r="M266" s="3"/>
      <c r="N266" s="3" t="str">
        <f t="shared" si="19"/>
        <v>Maybe</v>
      </c>
      <c r="O266" t="s">
        <v>888</v>
      </c>
      <c r="P266" t="b">
        <f t="shared" si="20"/>
        <v>0</v>
      </c>
    </row>
    <row r="267" spans="1:16" x14ac:dyDescent="0.25">
      <c r="A267">
        <v>266</v>
      </c>
      <c r="B267" t="s">
        <v>889</v>
      </c>
      <c r="C267">
        <v>-1999</v>
      </c>
      <c r="D267" t="s">
        <v>49</v>
      </c>
      <c r="E267" t="s">
        <v>890</v>
      </c>
      <c r="F267" t="s">
        <v>279</v>
      </c>
      <c r="G267">
        <v>8.1</v>
      </c>
      <c r="H267">
        <v>85</v>
      </c>
      <c r="I267" t="s">
        <v>848</v>
      </c>
      <c r="J267" s="3">
        <v>188843</v>
      </c>
      <c r="K267" s="3" t="str">
        <f t="shared" si="21"/>
        <v>Must Watch</v>
      </c>
      <c r="L267" s="3" t="str">
        <f t="shared" si="18"/>
        <v>Don't Watch</v>
      </c>
      <c r="M267" s="3"/>
      <c r="N267" s="3" t="str">
        <f t="shared" si="19"/>
        <v>Maybe</v>
      </c>
      <c r="O267" t="s">
        <v>891</v>
      </c>
      <c r="P267" t="b">
        <f t="shared" si="20"/>
        <v>0</v>
      </c>
    </row>
    <row r="268" spans="1:16" x14ac:dyDescent="0.25">
      <c r="A268">
        <v>267</v>
      </c>
      <c r="B268" t="s">
        <v>892</v>
      </c>
      <c r="C268">
        <v>-1998</v>
      </c>
      <c r="D268">
        <v>18</v>
      </c>
      <c r="E268" t="s">
        <v>232</v>
      </c>
      <c r="F268" t="s">
        <v>419</v>
      </c>
      <c r="G268">
        <v>8.1</v>
      </c>
      <c r="H268">
        <v>71</v>
      </c>
      <c r="I268" t="s">
        <v>893</v>
      </c>
      <c r="J268" s="3">
        <v>794359</v>
      </c>
      <c r="K268" s="3" t="str">
        <f t="shared" si="21"/>
        <v>Must Watch</v>
      </c>
      <c r="L268" s="3" t="str">
        <f t="shared" si="18"/>
        <v>Don't Watch</v>
      </c>
      <c r="M268" s="3"/>
      <c r="N268" s="3" t="str">
        <f t="shared" si="19"/>
        <v>Maybe</v>
      </c>
      <c r="O268" t="s">
        <v>894</v>
      </c>
      <c r="P268" t="b">
        <f t="shared" si="20"/>
        <v>0</v>
      </c>
    </row>
    <row r="269" spans="1:16" x14ac:dyDescent="0.25">
      <c r="A269">
        <v>268</v>
      </c>
      <c r="B269" t="s">
        <v>895</v>
      </c>
      <c r="C269">
        <v>-1996</v>
      </c>
      <c r="D269">
        <v>18</v>
      </c>
      <c r="E269" t="s">
        <v>823</v>
      </c>
      <c r="F269" t="s">
        <v>20</v>
      </c>
      <c r="G269">
        <v>8.1</v>
      </c>
      <c r="H269">
        <v>83</v>
      </c>
      <c r="I269" t="s">
        <v>896</v>
      </c>
      <c r="J269" s="3">
        <v>676771</v>
      </c>
      <c r="K269" s="3" t="str">
        <f t="shared" si="21"/>
        <v>Must Watch</v>
      </c>
      <c r="L269" s="3" t="str">
        <f t="shared" si="18"/>
        <v>Don't Watch</v>
      </c>
      <c r="M269" s="3"/>
      <c r="N269" s="3" t="str">
        <f t="shared" si="19"/>
        <v>Maybe</v>
      </c>
      <c r="O269" t="s">
        <v>897</v>
      </c>
      <c r="P269" t="b">
        <f t="shared" si="20"/>
        <v>0</v>
      </c>
    </row>
    <row r="270" spans="1:16" x14ac:dyDescent="0.25">
      <c r="A270">
        <v>269</v>
      </c>
      <c r="B270" t="s">
        <v>898</v>
      </c>
      <c r="C270">
        <v>-1996</v>
      </c>
      <c r="D270">
        <v>18</v>
      </c>
      <c r="E270" t="s">
        <v>313</v>
      </c>
      <c r="F270" t="s">
        <v>683</v>
      </c>
      <c r="G270">
        <v>8.1</v>
      </c>
      <c r="H270">
        <v>85</v>
      </c>
      <c r="I270" t="s">
        <v>893</v>
      </c>
      <c r="J270" s="3">
        <v>667020</v>
      </c>
      <c r="K270" s="3" t="str">
        <f t="shared" si="21"/>
        <v>Must Watch</v>
      </c>
      <c r="L270" s="3" t="str">
        <f t="shared" si="18"/>
        <v>Don't Watch</v>
      </c>
      <c r="M270" s="3"/>
      <c r="N270" s="3" t="str">
        <f t="shared" si="19"/>
        <v>Maybe</v>
      </c>
      <c r="O270" t="s">
        <v>899</v>
      </c>
      <c r="P270" t="b">
        <f t="shared" si="20"/>
        <v>0</v>
      </c>
    </row>
    <row r="271" spans="1:16" x14ac:dyDescent="0.25">
      <c r="A271">
        <v>270</v>
      </c>
      <c r="B271" t="s">
        <v>900</v>
      </c>
      <c r="C271">
        <v>-1996</v>
      </c>
      <c r="D271">
        <v>15</v>
      </c>
      <c r="E271" t="s">
        <v>477</v>
      </c>
      <c r="F271" t="s">
        <v>144</v>
      </c>
      <c r="G271">
        <v>8.1</v>
      </c>
      <c r="I271" t="s">
        <v>901</v>
      </c>
      <c r="J271" s="3">
        <v>69691</v>
      </c>
      <c r="K271" s="3" t="str">
        <f t="shared" si="21"/>
        <v>Must Watch</v>
      </c>
      <c r="L271" s="3" t="str">
        <f t="shared" si="18"/>
        <v>Don't Watch</v>
      </c>
      <c r="M271" s="3"/>
      <c r="N271" s="3" t="str">
        <f t="shared" si="19"/>
        <v>Maybe</v>
      </c>
      <c r="P271" t="b">
        <f t="shared" si="20"/>
        <v>0</v>
      </c>
    </row>
    <row r="272" spans="1:16" x14ac:dyDescent="0.25">
      <c r="A272">
        <v>271</v>
      </c>
      <c r="B272" t="s">
        <v>902</v>
      </c>
      <c r="C272">
        <v>-1995</v>
      </c>
      <c r="D272">
        <v>15</v>
      </c>
      <c r="E272" t="s">
        <v>303</v>
      </c>
      <c r="F272" t="s">
        <v>769</v>
      </c>
      <c r="G272">
        <v>8.1</v>
      </c>
      <c r="H272">
        <v>79</v>
      </c>
      <c r="I272" t="s">
        <v>903</v>
      </c>
      <c r="J272" s="3">
        <v>58171</v>
      </c>
      <c r="K272" s="3" t="str">
        <f t="shared" si="21"/>
        <v>Must Watch</v>
      </c>
      <c r="L272" s="3" t="str">
        <f t="shared" si="18"/>
        <v>Don't Watch</v>
      </c>
      <c r="M272" s="3"/>
      <c r="N272" s="3" t="str">
        <f t="shared" si="19"/>
        <v>Maybe</v>
      </c>
      <c r="O272" t="s">
        <v>904</v>
      </c>
      <c r="P272" t="b">
        <f t="shared" si="20"/>
        <v>0</v>
      </c>
    </row>
    <row r="273" spans="1:16" x14ac:dyDescent="0.25">
      <c r="A273">
        <v>272</v>
      </c>
      <c r="B273" t="s">
        <v>905</v>
      </c>
      <c r="C273">
        <v>-1995</v>
      </c>
      <c r="D273">
        <v>15</v>
      </c>
      <c r="E273" t="s">
        <v>313</v>
      </c>
      <c r="F273" t="s">
        <v>26</v>
      </c>
      <c r="G273">
        <v>8.1</v>
      </c>
      <c r="I273" t="s">
        <v>906</v>
      </c>
      <c r="J273" s="3">
        <v>169618</v>
      </c>
      <c r="K273" s="3" t="str">
        <f t="shared" si="21"/>
        <v>Must Watch</v>
      </c>
      <c r="L273" s="3" t="str">
        <f t="shared" si="18"/>
        <v>Don't Watch</v>
      </c>
      <c r="M273" s="3"/>
      <c r="N273" s="3" t="str">
        <f t="shared" si="19"/>
        <v>Maybe</v>
      </c>
      <c r="O273" t="s">
        <v>907</v>
      </c>
      <c r="P273" t="b">
        <f t="shared" si="20"/>
        <v>0</v>
      </c>
    </row>
    <row r="274" spans="1:16" x14ac:dyDescent="0.25">
      <c r="A274">
        <v>273</v>
      </c>
      <c r="B274" t="s">
        <v>908</v>
      </c>
      <c r="C274">
        <v>-1995</v>
      </c>
      <c r="D274">
        <v>15</v>
      </c>
      <c r="E274" t="s">
        <v>321</v>
      </c>
      <c r="F274" t="s">
        <v>78</v>
      </c>
      <c r="G274">
        <v>8.1</v>
      </c>
      <c r="H274">
        <v>77</v>
      </c>
      <c r="I274" t="s">
        <v>852</v>
      </c>
      <c r="J274" s="3">
        <v>300805</v>
      </c>
      <c r="K274" s="3" t="str">
        <f t="shared" si="21"/>
        <v>Must Watch</v>
      </c>
      <c r="L274" s="3" t="str">
        <f t="shared" si="18"/>
        <v>Don't Watch</v>
      </c>
      <c r="M274" s="3"/>
      <c r="N274" s="3" t="str">
        <f t="shared" si="19"/>
        <v>Maybe</v>
      </c>
      <c r="O274" t="s">
        <v>909</v>
      </c>
      <c r="P274" t="b">
        <f t="shared" si="20"/>
        <v>0</v>
      </c>
    </row>
    <row r="275" spans="1:16" x14ac:dyDescent="0.25">
      <c r="A275">
        <v>274</v>
      </c>
      <c r="B275" t="s">
        <v>910</v>
      </c>
      <c r="C275">
        <v>-1994</v>
      </c>
      <c r="D275">
        <v>15</v>
      </c>
      <c r="E275" t="s">
        <v>436</v>
      </c>
      <c r="F275" t="s">
        <v>557</v>
      </c>
      <c r="G275">
        <v>8.1</v>
      </c>
      <c r="H275">
        <v>100</v>
      </c>
      <c r="I275" t="s">
        <v>911</v>
      </c>
      <c r="J275" s="3">
        <v>101965</v>
      </c>
      <c r="K275" s="3" t="str">
        <f t="shared" si="21"/>
        <v>Must Watch</v>
      </c>
      <c r="L275" s="3" t="str">
        <f t="shared" si="18"/>
        <v>Don't Watch</v>
      </c>
      <c r="M275" s="3"/>
      <c r="N275" s="3" t="str">
        <f t="shared" si="19"/>
        <v>Maybe</v>
      </c>
      <c r="O275" t="s">
        <v>912</v>
      </c>
      <c r="P275" t="b">
        <f t="shared" si="20"/>
        <v>0</v>
      </c>
    </row>
    <row r="276" spans="1:16" x14ac:dyDescent="0.25">
      <c r="A276">
        <v>275</v>
      </c>
      <c r="B276" t="s">
        <v>913</v>
      </c>
      <c r="C276">
        <v>-1993</v>
      </c>
      <c r="D276">
        <v>15</v>
      </c>
      <c r="E276" t="s">
        <v>104</v>
      </c>
      <c r="F276" t="s">
        <v>95</v>
      </c>
      <c r="G276">
        <v>8.1</v>
      </c>
      <c r="H276">
        <v>84</v>
      </c>
      <c r="I276" t="s">
        <v>914</v>
      </c>
      <c r="J276" s="3">
        <v>172627</v>
      </c>
      <c r="K276" s="3" t="str">
        <f t="shared" si="21"/>
        <v>Must Watch</v>
      </c>
      <c r="L276" s="3" t="str">
        <f t="shared" si="18"/>
        <v>Don't Watch</v>
      </c>
      <c r="M276" s="3"/>
      <c r="N276" s="3" t="str">
        <f t="shared" si="19"/>
        <v>Maybe</v>
      </c>
      <c r="O276" t="s">
        <v>915</v>
      </c>
      <c r="P276" t="b">
        <f t="shared" si="20"/>
        <v>0</v>
      </c>
    </row>
    <row r="277" spans="1:16" x14ac:dyDescent="0.25">
      <c r="A277">
        <v>276</v>
      </c>
      <c r="B277" t="s">
        <v>916</v>
      </c>
      <c r="C277">
        <v>-1993</v>
      </c>
      <c r="D277" t="s">
        <v>74</v>
      </c>
      <c r="E277" t="s">
        <v>321</v>
      </c>
      <c r="F277" t="s">
        <v>769</v>
      </c>
      <c r="G277">
        <v>8.1</v>
      </c>
      <c r="H277">
        <v>72</v>
      </c>
      <c r="I277" t="s">
        <v>917</v>
      </c>
      <c r="J277" s="3">
        <v>618485</v>
      </c>
      <c r="K277" s="3" t="str">
        <f t="shared" si="21"/>
        <v>Must Watch</v>
      </c>
      <c r="L277" s="3" t="str">
        <f t="shared" si="18"/>
        <v>Don't Watch</v>
      </c>
      <c r="M277" s="3"/>
      <c r="N277" s="3" t="str">
        <f t="shared" si="19"/>
        <v>Maybe</v>
      </c>
      <c r="O277" t="s">
        <v>918</v>
      </c>
      <c r="P277" t="b">
        <f t="shared" si="20"/>
        <v>0</v>
      </c>
    </row>
    <row r="278" spans="1:16" x14ac:dyDescent="0.25">
      <c r="A278">
        <v>277</v>
      </c>
      <c r="B278" t="s">
        <v>919</v>
      </c>
      <c r="C278">
        <v>-1993</v>
      </c>
      <c r="D278">
        <v>15</v>
      </c>
      <c r="E278" t="s">
        <v>920</v>
      </c>
      <c r="F278" t="s">
        <v>921</v>
      </c>
      <c r="G278">
        <v>8.1</v>
      </c>
      <c r="H278">
        <v>83</v>
      </c>
      <c r="I278" t="s">
        <v>922</v>
      </c>
      <c r="J278" s="3">
        <v>28533</v>
      </c>
      <c r="K278" s="3" t="str">
        <f t="shared" si="21"/>
        <v>Must Watch</v>
      </c>
      <c r="L278" s="3" t="str">
        <f t="shared" si="18"/>
        <v>Don't Watch</v>
      </c>
      <c r="M278" s="3"/>
      <c r="N278" s="3" t="str">
        <f t="shared" si="19"/>
        <v>Maybe</v>
      </c>
      <c r="O278" t="s">
        <v>923</v>
      </c>
      <c r="P278" t="b">
        <f t="shared" si="20"/>
        <v>0</v>
      </c>
    </row>
    <row r="279" spans="1:16" x14ac:dyDescent="0.25">
      <c r="A279">
        <v>278</v>
      </c>
      <c r="B279" t="s">
        <v>924</v>
      </c>
      <c r="C279">
        <v>-1991</v>
      </c>
      <c r="D279" t="s">
        <v>74</v>
      </c>
      <c r="E279" t="s">
        <v>119</v>
      </c>
      <c r="F279" t="s">
        <v>925</v>
      </c>
      <c r="G279">
        <v>8.1</v>
      </c>
      <c r="I279" t="s">
        <v>926</v>
      </c>
      <c r="J279" s="3">
        <v>32404</v>
      </c>
      <c r="K279" s="3" t="str">
        <f t="shared" si="21"/>
        <v>Must Watch</v>
      </c>
      <c r="L279" s="3" t="str">
        <f t="shared" si="18"/>
        <v>Don't Watch</v>
      </c>
      <c r="M279" s="3"/>
      <c r="N279" s="3" t="str">
        <f t="shared" si="19"/>
        <v>Maybe</v>
      </c>
      <c r="O279" t="s">
        <v>927</v>
      </c>
      <c r="P279" t="b">
        <f t="shared" si="20"/>
        <v>0</v>
      </c>
    </row>
    <row r="280" spans="1:16" x14ac:dyDescent="0.25">
      <c r="A280">
        <v>279</v>
      </c>
      <c r="B280" t="s">
        <v>928</v>
      </c>
      <c r="C280">
        <v>-1988</v>
      </c>
      <c r="D280">
        <v>15</v>
      </c>
      <c r="E280" t="s">
        <v>19</v>
      </c>
      <c r="F280" t="s">
        <v>453</v>
      </c>
      <c r="G280">
        <v>8.1</v>
      </c>
      <c r="I280" t="s">
        <v>903</v>
      </c>
      <c r="J280" s="3">
        <v>30569</v>
      </c>
      <c r="K280" s="3" t="str">
        <f t="shared" si="21"/>
        <v>Must Watch</v>
      </c>
      <c r="L280" s="3" t="str">
        <f t="shared" si="18"/>
        <v>Don't Watch</v>
      </c>
      <c r="M280" s="3"/>
      <c r="N280" s="3" t="str">
        <f t="shared" si="19"/>
        <v>Maybe</v>
      </c>
      <c r="O280" t="s">
        <v>358</v>
      </c>
      <c r="P280" t="b">
        <f t="shared" si="20"/>
        <v>0</v>
      </c>
    </row>
    <row r="281" spans="1:16" x14ac:dyDescent="0.25">
      <c r="A281">
        <v>280</v>
      </c>
      <c r="B281" t="s">
        <v>929</v>
      </c>
      <c r="C281">
        <v>-1989</v>
      </c>
      <c r="D281" t="s">
        <v>74</v>
      </c>
      <c r="E281" t="s">
        <v>477</v>
      </c>
      <c r="F281" t="s">
        <v>304</v>
      </c>
      <c r="G281">
        <v>8.1</v>
      </c>
      <c r="H281">
        <v>79</v>
      </c>
      <c r="I281" t="s">
        <v>621</v>
      </c>
      <c r="J281" s="3">
        <v>476107</v>
      </c>
      <c r="K281" s="3" t="str">
        <f t="shared" si="21"/>
        <v>Must Watch</v>
      </c>
      <c r="L281" s="3" t="str">
        <f t="shared" si="18"/>
        <v>Don't Watch</v>
      </c>
      <c r="M281" s="3"/>
      <c r="N281" s="3" t="str">
        <f t="shared" si="19"/>
        <v>Maybe</v>
      </c>
      <c r="O281" t="s">
        <v>930</v>
      </c>
      <c r="P281" t="b">
        <f t="shared" si="20"/>
        <v>0</v>
      </c>
    </row>
    <row r="282" spans="1:16" x14ac:dyDescent="0.25">
      <c r="A282">
        <v>281</v>
      </c>
      <c r="B282" t="s">
        <v>931</v>
      </c>
      <c r="C282">
        <v>-1988</v>
      </c>
      <c r="D282" t="s">
        <v>49</v>
      </c>
      <c r="E282" t="s">
        <v>890</v>
      </c>
      <c r="F282" t="s">
        <v>932</v>
      </c>
      <c r="G282">
        <v>8.1</v>
      </c>
      <c r="H282">
        <v>86</v>
      </c>
      <c r="I282" t="s">
        <v>121</v>
      </c>
      <c r="J282" s="3">
        <v>329993</v>
      </c>
      <c r="K282" s="3" t="str">
        <f t="shared" si="21"/>
        <v>Must Watch</v>
      </c>
      <c r="L282" s="3" t="str">
        <f t="shared" si="18"/>
        <v>Don't Watch</v>
      </c>
      <c r="M282" s="3"/>
      <c r="N282" s="3" t="str">
        <f t="shared" si="19"/>
        <v>Maybe</v>
      </c>
      <c r="O282" t="s">
        <v>835</v>
      </c>
      <c r="P282" t="b">
        <f t="shared" si="20"/>
        <v>0</v>
      </c>
    </row>
    <row r="283" spans="1:16" x14ac:dyDescent="0.25">
      <c r="A283">
        <v>282</v>
      </c>
      <c r="B283" t="s">
        <v>933</v>
      </c>
      <c r="C283">
        <v>-1986</v>
      </c>
      <c r="D283">
        <v>15</v>
      </c>
      <c r="E283" t="s">
        <v>221</v>
      </c>
      <c r="F283" t="s">
        <v>934</v>
      </c>
      <c r="G283">
        <v>8.1</v>
      </c>
      <c r="H283">
        <v>75</v>
      </c>
      <c r="I283" t="s">
        <v>935</v>
      </c>
      <c r="J283" s="3">
        <v>395753</v>
      </c>
      <c r="K283" s="3" t="str">
        <f t="shared" si="21"/>
        <v>Must Watch</v>
      </c>
      <c r="L283" s="3" t="str">
        <f t="shared" si="18"/>
        <v>Don't Watch</v>
      </c>
      <c r="M283" s="3"/>
      <c r="N283" s="3" t="str">
        <f t="shared" si="19"/>
        <v>Maybe</v>
      </c>
      <c r="O283" t="s">
        <v>936</v>
      </c>
      <c r="P283" t="b">
        <f t="shared" si="20"/>
        <v>0</v>
      </c>
    </row>
    <row r="284" spans="1:16" x14ac:dyDescent="0.25">
      <c r="A284">
        <v>283</v>
      </c>
      <c r="B284" t="s">
        <v>937</v>
      </c>
      <c r="C284">
        <v>-1986</v>
      </c>
      <c r="D284">
        <v>15</v>
      </c>
      <c r="E284" t="s">
        <v>811</v>
      </c>
      <c r="F284" t="s">
        <v>124</v>
      </c>
      <c r="G284">
        <v>8.1</v>
      </c>
      <c r="H284">
        <v>92</v>
      </c>
      <c r="I284" t="s">
        <v>938</v>
      </c>
      <c r="J284" s="3">
        <v>408735</v>
      </c>
      <c r="K284" s="3" t="str">
        <f t="shared" si="21"/>
        <v>Must Watch</v>
      </c>
      <c r="L284" s="3" t="str">
        <f t="shared" si="18"/>
        <v>Don't Watch</v>
      </c>
      <c r="M284" s="3"/>
      <c r="N284" s="3" t="str">
        <f t="shared" si="19"/>
        <v>Maybe</v>
      </c>
      <c r="O284" t="s">
        <v>939</v>
      </c>
      <c r="P284" t="b">
        <f t="shared" si="20"/>
        <v>0</v>
      </c>
    </row>
    <row r="285" spans="1:16" x14ac:dyDescent="0.25">
      <c r="A285">
        <v>284</v>
      </c>
      <c r="B285" t="s">
        <v>940</v>
      </c>
      <c r="C285">
        <v>-1986</v>
      </c>
      <c r="D285" t="s">
        <v>74</v>
      </c>
      <c r="E285" t="s">
        <v>811</v>
      </c>
      <c r="F285" t="s">
        <v>941</v>
      </c>
      <c r="G285">
        <v>8.1</v>
      </c>
      <c r="I285" t="s">
        <v>942</v>
      </c>
      <c r="J285" s="3">
        <v>25735</v>
      </c>
      <c r="K285" s="3" t="str">
        <f t="shared" si="21"/>
        <v>Must Watch</v>
      </c>
      <c r="L285" s="3" t="str">
        <f t="shared" si="18"/>
        <v>Don't Watch</v>
      </c>
      <c r="M285" s="3"/>
      <c r="N285" s="3" t="str">
        <f t="shared" si="19"/>
        <v>Maybe</v>
      </c>
      <c r="O285" t="s">
        <v>943</v>
      </c>
      <c r="P285" t="b">
        <f t="shared" si="20"/>
        <v>0</v>
      </c>
    </row>
    <row r="286" spans="1:16" x14ac:dyDescent="0.25">
      <c r="A286">
        <v>285</v>
      </c>
      <c r="B286" t="s">
        <v>944</v>
      </c>
      <c r="C286">
        <v>-1984</v>
      </c>
      <c r="D286">
        <v>18</v>
      </c>
      <c r="E286" t="s">
        <v>493</v>
      </c>
      <c r="F286" t="s">
        <v>90</v>
      </c>
      <c r="G286">
        <v>8.1</v>
      </c>
      <c r="H286">
        <v>84</v>
      </c>
      <c r="I286" t="s">
        <v>140</v>
      </c>
      <c r="J286" s="3">
        <v>846867</v>
      </c>
      <c r="K286" s="3" t="str">
        <f t="shared" si="21"/>
        <v>Must Watch</v>
      </c>
      <c r="L286" s="3" t="str">
        <f t="shared" si="18"/>
        <v>Don't Watch</v>
      </c>
      <c r="M286" s="3"/>
      <c r="N286" s="3" t="str">
        <f t="shared" si="19"/>
        <v>Maybe</v>
      </c>
      <c r="O286" t="s">
        <v>945</v>
      </c>
      <c r="P286" t="b">
        <f t="shared" si="20"/>
        <v>0</v>
      </c>
    </row>
    <row r="287" spans="1:16" x14ac:dyDescent="0.25">
      <c r="A287">
        <v>286</v>
      </c>
      <c r="B287" t="s">
        <v>946</v>
      </c>
      <c r="C287">
        <v>-1982</v>
      </c>
      <c r="D287" t="s">
        <v>155</v>
      </c>
      <c r="E287" t="s">
        <v>947</v>
      </c>
      <c r="F287" t="s">
        <v>606</v>
      </c>
      <c r="G287">
        <v>8.1</v>
      </c>
      <c r="H287">
        <v>79</v>
      </c>
      <c r="I287" t="s">
        <v>948</v>
      </c>
      <c r="J287" s="3">
        <v>229087</v>
      </c>
      <c r="K287" s="3" t="str">
        <f t="shared" si="21"/>
        <v>Must Watch</v>
      </c>
      <c r="L287" s="3" t="str">
        <f t="shared" si="18"/>
        <v>Don't Watch</v>
      </c>
      <c r="M287" s="3"/>
      <c r="N287" s="3" t="str">
        <f t="shared" si="19"/>
        <v>Maybe</v>
      </c>
      <c r="O287" t="s">
        <v>949</v>
      </c>
      <c r="P287" t="b">
        <f t="shared" si="20"/>
        <v>0</v>
      </c>
    </row>
    <row r="288" spans="1:16" x14ac:dyDescent="0.25">
      <c r="A288">
        <v>287</v>
      </c>
      <c r="B288" t="s">
        <v>950</v>
      </c>
      <c r="C288">
        <v>-1982</v>
      </c>
      <c r="D288">
        <v>15</v>
      </c>
      <c r="E288" t="s">
        <v>951</v>
      </c>
      <c r="F288" t="s">
        <v>20</v>
      </c>
      <c r="G288">
        <v>8.1</v>
      </c>
      <c r="H288">
        <v>100</v>
      </c>
      <c r="I288" t="s">
        <v>952</v>
      </c>
      <c r="J288" s="3">
        <v>63380</v>
      </c>
      <c r="K288" s="3" t="str">
        <f t="shared" si="21"/>
        <v>Must Watch</v>
      </c>
      <c r="L288" s="3" t="str">
        <f t="shared" si="18"/>
        <v>Don't Watch</v>
      </c>
      <c r="M288" s="3"/>
      <c r="N288" s="3" t="str">
        <f t="shared" si="19"/>
        <v>Maybe</v>
      </c>
      <c r="O288" t="s">
        <v>953</v>
      </c>
      <c r="P288" t="b">
        <f t="shared" si="20"/>
        <v>0</v>
      </c>
    </row>
    <row r="289" spans="1:16" x14ac:dyDescent="0.25">
      <c r="A289">
        <v>288</v>
      </c>
      <c r="B289" t="s">
        <v>954</v>
      </c>
      <c r="C289">
        <v>-1982</v>
      </c>
      <c r="D289" t="s">
        <v>236</v>
      </c>
      <c r="E289" t="s">
        <v>232</v>
      </c>
      <c r="F289" t="s">
        <v>595</v>
      </c>
      <c r="G289">
        <v>8.1</v>
      </c>
      <c r="H289">
        <v>84</v>
      </c>
      <c r="I289" t="s">
        <v>199</v>
      </c>
      <c r="J289" s="3">
        <v>753332</v>
      </c>
      <c r="K289" s="3" t="str">
        <f t="shared" si="21"/>
        <v>Must Watch</v>
      </c>
      <c r="L289" s="3" t="str">
        <f t="shared" si="18"/>
        <v>Don't Watch</v>
      </c>
      <c r="M289" s="3"/>
      <c r="N289" s="3" t="str">
        <f t="shared" si="19"/>
        <v>Maybe</v>
      </c>
      <c r="O289" t="s">
        <v>955</v>
      </c>
      <c r="P289" t="b">
        <f t="shared" si="20"/>
        <v>0</v>
      </c>
    </row>
    <row r="290" spans="1:16" x14ac:dyDescent="0.25">
      <c r="A290">
        <v>289</v>
      </c>
      <c r="B290" t="s">
        <v>956</v>
      </c>
      <c r="C290">
        <v>-1979</v>
      </c>
      <c r="D290" t="s">
        <v>74</v>
      </c>
      <c r="E290" t="s">
        <v>644</v>
      </c>
      <c r="F290" t="s">
        <v>504</v>
      </c>
      <c r="G290">
        <v>8.1</v>
      </c>
      <c r="I290" t="s">
        <v>957</v>
      </c>
      <c r="J290" s="3">
        <v>132099</v>
      </c>
      <c r="K290" s="3" t="str">
        <f t="shared" si="21"/>
        <v>Must Watch</v>
      </c>
      <c r="L290" s="3" t="str">
        <f t="shared" si="18"/>
        <v>Don't Watch</v>
      </c>
      <c r="M290" s="3"/>
      <c r="N290" s="3" t="str">
        <f t="shared" si="19"/>
        <v>Maybe</v>
      </c>
      <c r="O290" t="s">
        <v>958</v>
      </c>
      <c r="P290" t="b">
        <f t="shared" si="20"/>
        <v>0</v>
      </c>
    </row>
    <row r="291" spans="1:16" x14ac:dyDescent="0.25">
      <c r="A291">
        <v>290</v>
      </c>
      <c r="B291" t="s">
        <v>959</v>
      </c>
      <c r="C291">
        <v>-1978</v>
      </c>
      <c r="D291" t="s">
        <v>236</v>
      </c>
      <c r="E291" t="s">
        <v>827</v>
      </c>
      <c r="F291" t="s">
        <v>172</v>
      </c>
      <c r="G291">
        <v>8.1</v>
      </c>
      <c r="I291" t="s">
        <v>952</v>
      </c>
      <c r="J291" s="3">
        <v>33938</v>
      </c>
      <c r="K291" s="3" t="str">
        <f t="shared" si="21"/>
        <v>Must Watch</v>
      </c>
      <c r="L291" s="3" t="str">
        <f t="shared" si="18"/>
        <v>Don't Watch</v>
      </c>
      <c r="M291" s="3"/>
      <c r="N291" s="3" t="str">
        <f t="shared" si="19"/>
        <v>Maybe</v>
      </c>
      <c r="P291" t="b">
        <f t="shared" si="20"/>
        <v>0</v>
      </c>
    </row>
    <row r="292" spans="1:16" x14ac:dyDescent="0.25">
      <c r="A292">
        <v>291</v>
      </c>
      <c r="B292" t="s">
        <v>960</v>
      </c>
      <c r="C292">
        <v>-1978</v>
      </c>
      <c r="D292" t="s">
        <v>24</v>
      </c>
      <c r="E292" t="s">
        <v>867</v>
      </c>
      <c r="F292" t="s">
        <v>124</v>
      </c>
      <c r="G292">
        <v>8.1</v>
      </c>
      <c r="H292">
        <v>86</v>
      </c>
      <c r="I292" t="s">
        <v>961</v>
      </c>
      <c r="J292" s="3">
        <v>335040</v>
      </c>
      <c r="K292" s="3" t="str">
        <f t="shared" si="21"/>
        <v>Must Watch</v>
      </c>
      <c r="L292" s="3" t="str">
        <f t="shared" si="18"/>
        <v>Don't Watch</v>
      </c>
      <c r="M292" s="3"/>
      <c r="N292" s="3" t="str">
        <f t="shared" si="19"/>
        <v>Maybe</v>
      </c>
      <c r="O292" t="s">
        <v>962</v>
      </c>
      <c r="P292" t="b">
        <f t="shared" si="20"/>
        <v>0</v>
      </c>
    </row>
    <row r="293" spans="1:16" x14ac:dyDescent="0.25">
      <c r="A293">
        <v>292</v>
      </c>
      <c r="B293" t="s">
        <v>963</v>
      </c>
      <c r="C293">
        <v>-1976</v>
      </c>
      <c r="D293">
        <v>12</v>
      </c>
      <c r="E293" t="s">
        <v>811</v>
      </c>
      <c r="F293" t="s">
        <v>842</v>
      </c>
      <c r="G293">
        <v>8.1</v>
      </c>
      <c r="H293">
        <v>70</v>
      </c>
      <c r="I293" t="s">
        <v>964</v>
      </c>
      <c r="J293" s="3">
        <v>563395</v>
      </c>
      <c r="K293" s="3" t="str">
        <f t="shared" si="21"/>
        <v>Must Watch</v>
      </c>
      <c r="L293" s="3" t="str">
        <f t="shared" si="18"/>
        <v>Don't Watch</v>
      </c>
      <c r="M293" s="3"/>
      <c r="N293" s="3" t="str">
        <f t="shared" si="19"/>
        <v>Maybe</v>
      </c>
      <c r="O293" t="s">
        <v>965</v>
      </c>
      <c r="P293" t="b">
        <f t="shared" si="20"/>
        <v>0</v>
      </c>
    </row>
    <row r="294" spans="1:16" x14ac:dyDescent="0.25">
      <c r="A294">
        <v>293</v>
      </c>
      <c r="B294" t="s">
        <v>966</v>
      </c>
      <c r="C294">
        <v>-1976</v>
      </c>
      <c r="D294" t="s">
        <v>236</v>
      </c>
      <c r="E294" t="s">
        <v>148</v>
      </c>
      <c r="F294" t="s">
        <v>20</v>
      </c>
      <c r="G294">
        <v>8.1</v>
      </c>
      <c r="H294">
        <v>83</v>
      </c>
      <c r="I294" t="s">
        <v>51</v>
      </c>
      <c r="J294" s="3">
        <v>157815</v>
      </c>
      <c r="K294" s="3" t="str">
        <f t="shared" si="21"/>
        <v>Must Watch</v>
      </c>
      <c r="L294" s="3" t="str">
        <f t="shared" si="18"/>
        <v>Don't Watch</v>
      </c>
      <c r="M294" s="3"/>
      <c r="N294" s="3" t="str">
        <f t="shared" si="19"/>
        <v>Maybe</v>
      </c>
      <c r="P294" t="b">
        <f t="shared" si="20"/>
        <v>0</v>
      </c>
    </row>
    <row r="295" spans="1:16" x14ac:dyDescent="0.25">
      <c r="A295">
        <v>294</v>
      </c>
      <c r="B295" t="s">
        <v>967</v>
      </c>
      <c r="C295">
        <v>-1976</v>
      </c>
      <c r="D295" t="s">
        <v>74</v>
      </c>
      <c r="E295" t="s">
        <v>968</v>
      </c>
      <c r="F295" t="s">
        <v>42</v>
      </c>
      <c r="G295">
        <v>8.1</v>
      </c>
      <c r="I295" t="s">
        <v>969</v>
      </c>
      <c r="J295" s="3">
        <v>47222</v>
      </c>
      <c r="K295" s="3" t="str">
        <f t="shared" si="21"/>
        <v>Must Watch</v>
      </c>
      <c r="L295" s="3" t="str">
        <f t="shared" si="18"/>
        <v>Don't Watch</v>
      </c>
      <c r="M295" s="3"/>
      <c r="N295" s="3" t="str">
        <f t="shared" si="19"/>
        <v>Maybe</v>
      </c>
      <c r="P295" t="b">
        <f t="shared" si="20"/>
        <v>0</v>
      </c>
    </row>
    <row r="296" spans="1:16" x14ac:dyDescent="0.25">
      <c r="A296">
        <v>295</v>
      </c>
      <c r="B296" t="s">
        <v>970</v>
      </c>
      <c r="C296">
        <v>-1975</v>
      </c>
      <c r="D296" t="s">
        <v>74</v>
      </c>
      <c r="E296" t="s">
        <v>971</v>
      </c>
      <c r="F296" t="s">
        <v>371</v>
      </c>
      <c r="G296">
        <v>8.1</v>
      </c>
      <c r="I296" t="s">
        <v>972</v>
      </c>
      <c r="J296" s="3">
        <v>55246</v>
      </c>
      <c r="K296" s="3" t="str">
        <f t="shared" si="21"/>
        <v>Must Watch</v>
      </c>
      <c r="L296" s="3" t="str">
        <f t="shared" si="18"/>
        <v>Don't Watch</v>
      </c>
      <c r="M296" s="3"/>
      <c r="N296" s="3" t="str">
        <f t="shared" si="19"/>
        <v>Maybe</v>
      </c>
      <c r="P296" t="b">
        <f t="shared" si="20"/>
        <v>0</v>
      </c>
    </row>
    <row r="297" spans="1:16" x14ac:dyDescent="0.25">
      <c r="A297">
        <v>296</v>
      </c>
      <c r="B297" t="s">
        <v>973</v>
      </c>
      <c r="C297">
        <v>-1975</v>
      </c>
      <c r="D297" t="s">
        <v>155</v>
      </c>
      <c r="E297" t="s">
        <v>99</v>
      </c>
      <c r="F297" t="s">
        <v>974</v>
      </c>
      <c r="G297">
        <v>8.1</v>
      </c>
      <c r="H297">
        <v>87</v>
      </c>
      <c r="I297" t="s">
        <v>43</v>
      </c>
      <c r="J297" s="3">
        <v>587696</v>
      </c>
      <c r="K297" s="3" t="str">
        <f t="shared" si="21"/>
        <v>Must Watch</v>
      </c>
      <c r="L297" s="3" t="str">
        <f t="shared" si="18"/>
        <v>Don't Watch</v>
      </c>
      <c r="M297" s="3"/>
      <c r="N297" s="3" t="str">
        <f t="shared" si="19"/>
        <v>Maybe</v>
      </c>
      <c r="O297" t="s">
        <v>975</v>
      </c>
      <c r="P297" t="b">
        <f t="shared" si="20"/>
        <v>0</v>
      </c>
    </row>
    <row r="298" spans="1:16" x14ac:dyDescent="0.25">
      <c r="A298">
        <v>297</v>
      </c>
      <c r="B298" t="s">
        <v>976</v>
      </c>
      <c r="C298">
        <v>-1975</v>
      </c>
      <c r="D298" t="s">
        <v>155</v>
      </c>
      <c r="E298" t="s">
        <v>977</v>
      </c>
      <c r="F298" t="s">
        <v>406</v>
      </c>
      <c r="G298">
        <v>8.1</v>
      </c>
      <c r="H298">
        <v>89</v>
      </c>
      <c r="I298" t="s">
        <v>351</v>
      </c>
      <c r="J298" s="3">
        <v>164979</v>
      </c>
      <c r="K298" s="3" t="str">
        <f t="shared" si="21"/>
        <v>Must Watch</v>
      </c>
      <c r="L298" s="3" t="str">
        <f t="shared" si="18"/>
        <v>Don't Watch</v>
      </c>
      <c r="M298" s="3"/>
      <c r="N298" s="3" t="str">
        <f t="shared" si="19"/>
        <v>Maybe</v>
      </c>
      <c r="P298" t="b">
        <f t="shared" si="20"/>
        <v>0</v>
      </c>
    </row>
    <row r="299" spans="1:16" x14ac:dyDescent="0.25">
      <c r="A299">
        <v>298</v>
      </c>
      <c r="B299" t="s">
        <v>978</v>
      </c>
      <c r="C299">
        <v>-1973</v>
      </c>
      <c r="D299" t="s">
        <v>155</v>
      </c>
      <c r="E299" t="s">
        <v>249</v>
      </c>
      <c r="F299" t="s">
        <v>453</v>
      </c>
      <c r="G299">
        <v>8.1</v>
      </c>
      <c r="H299">
        <v>77</v>
      </c>
      <c r="I299" t="s">
        <v>979</v>
      </c>
      <c r="J299" s="3">
        <v>47203</v>
      </c>
      <c r="K299" s="3" t="str">
        <f t="shared" si="21"/>
        <v>Must Watch</v>
      </c>
      <c r="L299" s="3" t="str">
        <f t="shared" si="18"/>
        <v>Don't Watch</v>
      </c>
      <c r="M299" s="3"/>
      <c r="N299" s="3" t="str">
        <f t="shared" si="19"/>
        <v>Maybe</v>
      </c>
      <c r="O299" t="s">
        <v>980</v>
      </c>
      <c r="P299" t="b">
        <f t="shared" si="20"/>
        <v>0</v>
      </c>
    </row>
    <row r="300" spans="1:16" x14ac:dyDescent="0.25">
      <c r="A300">
        <v>299</v>
      </c>
      <c r="B300" t="s">
        <v>981</v>
      </c>
      <c r="C300">
        <v>-1973</v>
      </c>
      <c r="D300" t="s">
        <v>24</v>
      </c>
      <c r="E300" t="s">
        <v>268</v>
      </c>
      <c r="F300" t="s">
        <v>982</v>
      </c>
      <c r="G300">
        <v>8.1</v>
      </c>
      <c r="H300">
        <v>81</v>
      </c>
      <c r="I300" t="s">
        <v>983</v>
      </c>
      <c r="J300" s="3">
        <v>395364</v>
      </c>
      <c r="K300" s="3" t="str">
        <f t="shared" si="21"/>
        <v>Must Watch</v>
      </c>
      <c r="L300" s="3" t="str">
        <f t="shared" si="18"/>
        <v>Don't Watch</v>
      </c>
      <c r="M300" s="3"/>
      <c r="N300" s="3" t="str">
        <f t="shared" si="19"/>
        <v>Maybe</v>
      </c>
      <c r="O300" t="s">
        <v>984</v>
      </c>
      <c r="P300" t="b">
        <f t="shared" si="20"/>
        <v>0</v>
      </c>
    </row>
    <row r="301" spans="1:16" x14ac:dyDescent="0.25">
      <c r="A301">
        <v>300</v>
      </c>
      <c r="B301" t="s">
        <v>985</v>
      </c>
      <c r="C301">
        <v>-1971</v>
      </c>
      <c r="D301" t="s">
        <v>49</v>
      </c>
      <c r="E301" t="s">
        <v>268</v>
      </c>
      <c r="F301" t="s">
        <v>860</v>
      </c>
      <c r="G301">
        <v>8.1</v>
      </c>
      <c r="I301" t="s">
        <v>986</v>
      </c>
      <c r="J301" s="3">
        <v>33599</v>
      </c>
      <c r="K301" s="3" t="str">
        <f t="shared" si="21"/>
        <v>Must Watch</v>
      </c>
      <c r="L301" s="3" t="str">
        <f t="shared" si="18"/>
        <v>Don't Watch</v>
      </c>
      <c r="M301" s="3"/>
      <c r="N301" s="3" t="str">
        <f t="shared" si="19"/>
        <v>Maybe</v>
      </c>
      <c r="P301" t="b">
        <f t="shared" si="20"/>
        <v>0</v>
      </c>
    </row>
    <row r="302" spans="1:16" x14ac:dyDescent="0.25">
      <c r="A302">
        <v>301</v>
      </c>
      <c r="B302" t="s">
        <v>987</v>
      </c>
      <c r="C302">
        <v>-1967</v>
      </c>
      <c r="D302" t="s">
        <v>155</v>
      </c>
      <c r="E302" t="s">
        <v>136</v>
      </c>
      <c r="F302" t="s">
        <v>26</v>
      </c>
      <c r="G302">
        <v>8.1</v>
      </c>
      <c r="H302">
        <v>92</v>
      </c>
      <c r="I302" t="s">
        <v>988</v>
      </c>
      <c r="J302" s="3">
        <v>175217</v>
      </c>
      <c r="K302" s="3" t="str">
        <f t="shared" si="21"/>
        <v>Must Watch</v>
      </c>
      <c r="L302" s="3" t="str">
        <f t="shared" si="18"/>
        <v>Don't Watch</v>
      </c>
      <c r="M302" s="3"/>
      <c r="N302" s="3" t="str">
        <f t="shared" si="19"/>
        <v>Maybe</v>
      </c>
      <c r="O302" t="s">
        <v>989</v>
      </c>
      <c r="P302" t="b">
        <f t="shared" si="20"/>
        <v>0</v>
      </c>
    </row>
    <row r="303" spans="1:16" x14ac:dyDescent="0.25">
      <c r="A303">
        <v>302</v>
      </c>
      <c r="B303" t="s">
        <v>990</v>
      </c>
      <c r="C303">
        <v>-1966</v>
      </c>
      <c r="D303" t="s">
        <v>24</v>
      </c>
      <c r="E303" t="s">
        <v>991</v>
      </c>
      <c r="F303" t="s">
        <v>756</v>
      </c>
      <c r="G303">
        <v>8.1</v>
      </c>
      <c r="H303">
        <v>86</v>
      </c>
      <c r="I303" t="s">
        <v>952</v>
      </c>
      <c r="J303" s="3">
        <v>116450</v>
      </c>
      <c r="K303" s="3" t="str">
        <f t="shared" si="21"/>
        <v>Must Watch</v>
      </c>
      <c r="L303" s="3" t="str">
        <f t="shared" si="18"/>
        <v>Don't Watch</v>
      </c>
      <c r="M303" s="3"/>
      <c r="N303" s="3" t="str">
        <f t="shared" si="19"/>
        <v>Maybe</v>
      </c>
      <c r="P303" t="b">
        <f t="shared" si="20"/>
        <v>0</v>
      </c>
    </row>
    <row r="304" spans="1:16" x14ac:dyDescent="0.25">
      <c r="A304">
        <v>303</v>
      </c>
      <c r="B304" t="s">
        <v>992</v>
      </c>
      <c r="C304">
        <v>-1965</v>
      </c>
      <c r="D304" t="s">
        <v>49</v>
      </c>
      <c r="E304" t="s">
        <v>671</v>
      </c>
      <c r="F304" t="s">
        <v>824</v>
      </c>
      <c r="G304">
        <v>8.1</v>
      </c>
      <c r="H304">
        <v>63</v>
      </c>
      <c r="I304" t="s">
        <v>993</v>
      </c>
      <c r="J304" s="3">
        <v>228758</v>
      </c>
      <c r="K304" s="3" t="str">
        <f t="shared" si="21"/>
        <v>Must Watch</v>
      </c>
      <c r="L304" s="3" t="str">
        <f t="shared" si="18"/>
        <v>Don't Watch</v>
      </c>
      <c r="M304" s="3"/>
      <c r="N304" s="3" t="str">
        <f t="shared" si="19"/>
        <v>Maybe</v>
      </c>
      <c r="O304" t="s">
        <v>994</v>
      </c>
      <c r="P304" t="b">
        <f t="shared" si="20"/>
        <v>0</v>
      </c>
    </row>
    <row r="305" spans="1:16" x14ac:dyDescent="0.25">
      <c r="A305">
        <v>304</v>
      </c>
      <c r="B305" t="s">
        <v>995</v>
      </c>
      <c r="C305">
        <v>-1966</v>
      </c>
      <c r="D305" t="s">
        <v>24</v>
      </c>
      <c r="E305" t="s">
        <v>148</v>
      </c>
      <c r="F305" t="s">
        <v>124</v>
      </c>
      <c r="G305">
        <v>8.1</v>
      </c>
      <c r="H305">
        <v>96</v>
      </c>
      <c r="I305" t="s">
        <v>996</v>
      </c>
      <c r="J305" s="3">
        <v>59465</v>
      </c>
      <c r="K305" s="3" t="str">
        <f t="shared" si="21"/>
        <v>Must Watch</v>
      </c>
      <c r="L305" s="3" t="str">
        <f t="shared" si="18"/>
        <v>Don't Watch</v>
      </c>
      <c r="M305" s="3"/>
      <c r="N305" s="3" t="str">
        <f t="shared" si="19"/>
        <v>Maybe</v>
      </c>
      <c r="O305" t="s">
        <v>488</v>
      </c>
      <c r="P305" t="b">
        <f t="shared" si="20"/>
        <v>0</v>
      </c>
    </row>
    <row r="306" spans="1:16" x14ac:dyDescent="0.25">
      <c r="A306">
        <v>305</v>
      </c>
      <c r="B306" t="s">
        <v>997</v>
      </c>
      <c r="C306">
        <v>-1962</v>
      </c>
      <c r="D306" t="s">
        <v>49</v>
      </c>
      <c r="E306" t="s">
        <v>384</v>
      </c>
      <c r="F306" t="s">
        <v>296</v>
      </c>
      <c r="G306">
        <v>8.1</v>
      </c>
      <c r="H306">
        <v>94</v>
      </c>
      <c r="I306" t="s">
        <v>998</v>
      </c>
      <c r="J306" s="3">
        <v>75388</v>
      </c>
      <c r="K306" s="3" t="str">
        <f t="shared" si="21"/>
        <v>Must Watch</v>
      </c>
      <c r="L306" s="3" t="str">
        <f t="shared" si="18"/>
        <v>Don't Watch</v>
      </c>
      <c r="M306" s="3"/>
      <c r="N306" s="3" t="str">
        <f t="shared" si="19"/>
        <v>Watch</v>
      </c>
      <c r="P306" t="b">
        <f t="shared" si="20"/>
        <v>0</v>
      </c>
    </row>
    <row r="307" spans="1:16" x14ac:dyDescent="0.25">
      <c r="A307">
        <v>306</v>
      </c>
      <c r="B307" t="s">
        <v>999</v>
      </c>
      <c r="C307">
        <v>-1960</v>
      </c>
      <c r="D307">
        <v>15</v>
      </c>
      <c r="E307" t="s">
        <v>221</v>
      </c>
      <c r="F307" t="s">
        <v>20</v>
      </c>
      <c r="G307">
        <v>8.1</v>
      </c>
      <c r="I307" t="s">
        <v>952</v>
      </c>
      <c r="J307" s="3">
        <v>29129</v>
      </c>
      <c r="K307" s="3" t="str">
        <f t="shared" si="21"/>
        <v>Must Watch</v>
      </c>
      <c r="L307" s="3" t="str">
        <f t="shared" si="18"/>
        <v>Don't Watch</v>
      </c>
      <c r="M307" s="3"/>
      <c r="N307" s="3" t="str">
        <f t="shared" si="19"/>
        <v>Maybe</v>
      </c>
      <c r="O307" t="s">
        <v>1000</v>
      </c>
      <c r="P307" t="b">
        <f t="shared" si="20"/>
        <v>0</v>
      </c>
    </row>
    <row r="308" spans="1:16" x14ac:dyDescent="0.25">
      <c r="A308">
        <v>307</v>
      </c>
      <c r="B308" t="s">
        <v>1001</v>
      </c>
      <c r="C308">
        <v>-1960</v>
      </c>
      <c r="D308" t="s">
        <v>155</v>
      </c>
      <c r="E308" t="s">
        <v>477</v>
      </c>
      <c r="F308" t="s">
        <v>42</v>
      </c>
      <c r="G308">
        <v>8.1</v>
      </c>
      <c r="H308">
        <v>75</v>
      </c>
      <c r="I308" t="s">
        <v>470</v>
      </c>
      <c r="J308" s="3">
        <v>30006</v>
      </c>
      <c r="K308" s="3" t="str">
        <f t="shared" si="21"/>
        <v>Must Watch</v>
      </c>
      <c r="L308" s="3" t="str">
        <f t="shared" si="18"/>
        <v>Don't Watch</v>
      </c>
      <c r="M308" s="3"/>
      <c r="N308" s="3" t="str">
        <f t="shared" si="19"/>
        <v>Maybe</v>
      </c>
      <c r="P308" t="b">
        <f t="shared" si="20"/>
        <v>0</v>
      </c>
    </row>
    <row r="309" spans="1:16" x14ac:dyDescent="0.25">
      <c r="A309">
        <v>308</v>
      </c>
      <c r="B309" t="s">
        <v>1002</v>
      </c>
      <c r="C309">
        <v>-1959</v>
      </c>
      <c r="D309" t="s">
        <v>155</v>
      </c>
      <c r="E309" t="s">
        <v>436</v>
      </c>
      <c r="F309" t="s">
        <v>26</v>
      </c>
      <c r="G309">
        <v>8.1</v>
      </c>
      <c r="I309" t="s">
        <v>1003</v>
      </c>
      <c r="J309" s="3">
        <v>116226</v>
      </c>
      <c r="K309" s="3" t="str">
        <f t="shared" si="21"/>
        <v>Must Watch</v>
      </c>
      <c r="L309" s="3" t="str">
        <f t="shared" si="18"/>
        <v>Don't Watch</v>
      </c>
      <c r="M309" s="3"/>
      <c r="N309" s="3" t="str">
        <f t="shared" si="19"/>
        <v>Maybe</v>
      </c>
      <c r="P309" t="b">
        <f t="shared" si="20"/>
        <v>0</v>
      </c>
    </row>
    <row r="310" spans="1:16" x14ac:dyDescent="0.25">
      <c r="A310">
        <v>309</v>
      </c>
      <c r="B310" t="s">
        <v>1004</v>
      </c>
      <c r="C310">
        <v>-1959</v>
      </c>
      <c r="D310" t="s">
        <v>155</v>
      </c>
      <c r="E310" t="s">
        <v>1005</v>
      </c>
      <c r="F310" t="s">
        <v>672</v>
      </c>
      <c r="G310">
        <v>8.1</v>
      </c>
      <c r="H310">
        <v>90</v>
      </c>
      <c r="I310" t="s">
        <v>1006</v>
      </c>
      <c r="J310" s="3">
        <v>236704</v>
      </c>
      <c r="K310" s="3" t="str">
        <f t="shared" si="21"/>
        <v>Must Watch</v>
      </c>
      <c r="L310" s="3" t="str">
        <f t="shared" si="18"/>
        <v>Don't Watch</v>
      </c>
      <c r="M310" s="3"/>
      <c r="N310" s="3" t="str">
        <f t="shared" si="19"/>
        <v>Maybe</v>
      </c>
      <c r="O310" t="s">
        <v>1007</v>
      </c>
      <c r="P310" t="b">
        <f t="shared" si="20"/>
        <v>0</v>
      </c>
    </row>
    <row r="311" spans="1:16" x14ac:dyDescent="0.25">
      <c r="A311">
        <v>310</v>
      </c>
      <c r="B311" t="s">
        <v>1008</v>
      </c>
      <c r="C311">
        <v>-1958</v>
      </c>
      <c r="D311" t="s">
        <v>155</v>
      </c>
      <c r="E311" t="s">
        <v>70</v>
      </c>
      <c r="F311" t="s">
        <v>37</v>
      </c>
      <c r="G311">
        <v>8.1</v>
      </c>
      <c r="H311">
        <v>89</v>
      </c>
      <c r="I311" t="s">
        <v>157</v>
      </c>
      <c r="J311" s="3">
        <v>38749</v>
      </c>
      <c r="K311" s="3" t="str">
        <f t="shared" si="21"/>
        <v>Must Watch</v>
      </c>
      <c r="L311" s="3" t="str">
        <f t="shared" si="18"/>
        <v>Don't Watch</v>
      </c>
      <c r="M311" s="3"/>
      <c r="N311" s="3" t="str">
        <f t="shared" si="19"/>
        <v>Maybe</v>
      </c>
      <c r="P311" t="b">
        <f t="shared" si="20"/>
        <v>0</v>
      </c>
    </row>
    <row r="312" spans="1:16" x14ac:dyDescent="0.25">
      <c r="A312">
        <v>311</v>
      </c>
      <c r="B312" t="s">
        <v>1009</v>
      </c>
      <c r="C312">
        <v>-1957</v>
      </c>
      <c r="D312" t="s">
        <v>155</v>
      </c>
      <c r="E312" t="s">
        <v>658</v>
      </c>
      <c r="F312" t="s">
        <v>78</v>
      </c>
      <c r="G312">
        <v>8.1</v>
      </c>
      <c r="H312">
        <v>88</v>
      </c>
      <c r="I312" t="s">
        <v>952</v>
      </c>
      <c r="J312" s="3">
        <v>106127</v>
      </c>
      <c r="K312" s="3" t="str">
        <f t="shared" si="21"/>
        <v>Must Watch</v>
      </c>
      <c r="L312" s="3" t="str">
        <f t="shared" si="18"/>
        <v>Don't Watch</v>
      </c>
      <c r="M312" s="3"/>
      <c r="N312" s="3" t="str">
        <f t="shared" si="19"/>
        <v>Maybe</v>
      </c>
      <c r="P312" t="b">
        <f t="shared" si="20"/>
        <v>0</v>
      </c>
    </row>
    <row r="313" spans="1:16" x14ac:dyDescent="0.25">
      <c r="A313">
        <v>312</v>
      </c>
      <c r="B313" t="s">
        <v>1010</v>
      </c>
      <c r="C313">
        <v>-1957</v>
      </c>
      <c r="D313" t="s">
        <v>24</v>
      </c>
      <c r="E313" t="s">
        <v>50</v>
      </c>
      <c r="F313" t="s">
        <v>1011</v>
      </c>
      <c r="G313">
        <v>8.1</v>
      </c>
      <c r="H313">
        <v>88</v>
      </c>
      <c r="I313" t="s">
        <v>952</v>
      </c>
      <c r="J313" s="3">
        <v>182662</v>
      </c>
      <c r="K313" s="3" t="str">
        <f t="shared" si="21"/>
        <v>Must Watch</v>
      </c>
      <c r="L313" s="3" t="str">
        <f t="shared" si="18"/>
        <v>Don't Watch</v>
      </c>
      <c r="M313" s="3"/>
      <c r="N313" s="3" t="str">
        <f t="shared" si="19"/>
        <v>Maybe</v>
      </c>
      <c r="P313" t="b">
        <f t="shared" si="20"/>
        <v>0</v>
      </c>
    </row>
    <row r="314" spans="1:16" x14ac:dyDescent="0.25">
      <c r="A314">
        <v>313</v>
      </c>
      <c r="B314" t="s">
        <v>1012</v>
      </c>
      <c r="C314">
        <v>-1957</v>
      </c>
      <c r="D314" t="s">
        <v>24</v>
      </c>
      <c r="E314" t="s">
        <v>209</v>
      </c>
      <c r="F314" t="s">
        <v>20</v>
      </c>
      <c r="G314">
        <v>8.1</v>
      </c>
      <c r="I314" t="s">
        <v>1013</v>
      </c>
      <c r="J314" s="3">
        <v>48549</v>
      </c>
      <c r="K314" s="3" t="str">
        <f t="shared" si="21"/>
        <v>Must Watch</v>
      </c>
      <c r="L314" s="3" t="str">
        <f t="shared" si="18"/>
        <v>Don't Watch</v>
      </c>
      <c r="M314" s="3"/>
      <c r="N314" s="3" t="str">
        <f t="shared" si="19"/>
        <v>Maybe</v>
      </c>
      <c r="O314" t="s">
        <v>1014</v>
      </c>
      <c r="P314" t="b">
        <f t="shared" si="20"/>
        <v>0</v>
      </c>
    </row>
    <row r="315" spans="1:16" x14ac:dyDescent="0.25">
      <c r="A315">
        <v>314</v>
      </c>
      <c r="B315" t="s">
        <v>1015</v>
      </c>
      <c r="C315">
        <v>-1957</v>
      </c>
      <c r="D315" t="s">
        <v>155</v>
      </c>
      <c r="E315" t="s">
        <v>209</v>
      </c>
      <c r="F315" t="s">
        <v>1016</v>
      </c>
      <c r="G315">
        <v>8.1</v>
      </c>
      <c r="I315" t="s">
        <v>157</v>
      </c>
      <c r="J315" s="3">
        <v>51750</v>
      </c>
      <c r="K315" s="3" t="str">
        <f t="shared" si="21"/>
        <v>Must Watch</v>
      </c>
      <c r="L315" s="3" t="str">
        <f t="shared" si="18"/>
        <v>Don't Watch</v>
      </c>
      <c r="M315" s="3"/>
      <c r="N315" s="3" t="str">
        <f t="shared" si="19"/>
        <v>Maybe</v>
      </c>
      <c r="P315" t="b">
        <f t="shared" si="20"/>
        <v>0</v>
      </c>
    </row>
    <row r="316" spans="1:16" x14ac:dyDescent="0.25">
      <c r="A316">
        <v>315</v>
      </c>
      <c r="B316" t="s">
        <v>1017</v>
      </c>
      <c r="C316">
        <v>-1955</v>
      </c>
      <c r="D316">
        <v>12</v>
      </c>
      <c r="E316" t="s">
        <v>143</v>
      </c>
      <c r="F316" t="s">
        <v>144</v>
      </c>
      <c r="G316">
        <v>8.1</v>
      </c>
      <c r="H316">
        <v>97</v>
      </c>
      <c r="I316" t="s">
        <v>1018</v>
      </c>
      <c r="J316" s="3">
        <v>34120</v>
      </c>
      <c r="K316" s="3" t="str">
        <f t="shared" si="21"/>
        <v>Must Watch</v>
      </c>
      <c r="L316" s="3" t="str">
        <f t="shared" si="18"/>
        <v>Don't Watch</v>
      </c>
      <c r="M316" s="3"/>
      <c r="N316" s="3" t="str">
        <f t="shared" si="19"/>
        <v>Maybe</v>
      </c>
      <c r="O316" t="s">
        <v>488</v>
      </c>
      <c r="P316" t="b">
        <f t="shared" si="20"/>
        <v>0</v>
      </c>
    </row>
    <row r="317" spans="1:16" x14ac:dyDescent="0.25">
      <c r="A317">
        <v>316</v>
      </c>
      <c r="B317" t="s">
        <v>1019</v>
      </c>
      <c r="C317">
        <v>-1954</v>
      </c>
      <c r="D317" t="s">
        <v>155</v>
      </c>
      <c r="E317" t="s">
        <v>409</v>
      </c>
      <c r="F317" t="s">
        <v>144</v>
      </c>
      <c r="G317">
        <v>8.1</v>
      </c>
      <c r="H317">
        <v>91</v>
      </c>
      <c r="I317" t="s">
        <v>1020</v>
      </c>
      <c r="J317" s="3">
        <v>153402</v>
      </c>
      <c r="K317" s="3" t="str">
        <f t="shared" si="21"/>
        <v>Must Watch</v>
      </c>
      <c r="L317" s="3" t="str">
        <f t="shared" si="18"/>
        <v>Don't Watch</v>
      </c>
      <c r="M317" s="3"/>
      <c r="N317" s="3" t="str">
        <f t="shared" si="19"/>
        <v>Maybe</v>
      </c>
      <c r="O317" t="s">
        <v>1021</v>
      </c>
      <c r="P317" t="b">
        <f t="shared" si="20"/>
        <v>0</v>
      </c>
    </row>
    <row r="318" spans="1:16" x14ac:dyDescent="0.25">
      <c r="A318">
        <v>317</v>
      </c>
      <c r="B318" t="s">
        <v>1022</v>
      </c>
      <c r="C318">
        <v>-1955</v>
      </c>
      <c r="D318" t="s">
        <v>24</v>
      </c>
      <c r="E318" t="s">
        <v>232</v>
      </c>
      <c r="F318" t="s">
        <v>1023</v>
      </c>
      <c r="G318">
        <v>8.1</v>
      </c>
      <c r="I318" t="s">
        <v>689</v>
      </c>
      <c r="J318" s="3">
        <v>65491</v>
      </c>
      <c r="K318" s="3" t="str">
        <f t="shared" si="21"/>
        <v>Must Watch</v>
      </c>
      <c r="L318" s="3" t="str">
        <f t="shared" si="18"/>
        <v>Don't Watch</v>
      </c>
      <c r="M318" s="3"/>
      <c r="N318" s="3" t="str">
        <f t="shared" si="19"/>
        <v>Maybe</v>
      </c>
      <c r="O318" t="s">
        <v>1024</v>
      </c>
      <c r="P318" t="b">
        <f t="shared" si="20"/>
        <v>0</v>
      </c>
    </row>
    <row r="319" spans="1:16" x14ac:dyDescent="0.25">
      <c r="A319">
        <v>318</v>
      </c>
      <c r="B319" t="s">
        <v>1025</v>
      </c>
      <c r="C319">
        <v>-1951</v>
      </c>
      <c r="D319" t="s">
        <v>155</v>
      </c>
      <c r="E319" t="s">
        <v>610</v>
      </c>
      <c r="F319" t="s">
        <v>364</v>
      </c>
      <c r="G319">
        <v>8.1</v>
      </c>
      <c r="H319">
        <v>72</v>
      </c>
      <c r="I319" t="s">
        <v>360</v>
      </c>
      <c r="J319" s="3">
        <v>35571</v>
      </c>
      <c r="K319" s="3" t="str">
        <f t="shared" si="21"/>
        <v>Must Watch</v>
      </c>
      <c r="L319" s="3" t="str">
        <f t="shared" si="18"/>
        <v>Don't Watch</v>
      </c>
      <c r="M319" s="3"/>
      <c r="N319" s="3" t="str">
        <f t="shared" si="19"/>
        <v>Must Watch</v>
      </c>
      <c r="O319" t="s">
        <v>1026</v>
      </c>
      <c r="P319" t="b">
        <f t="shared" si="20"/>
        <v>0</v>
      </c>
    </row>
    <row r="320" spans="1:16" x14ac:dyDescent="0.25">
      <c r="A320">
        <v>319</v>
      </c>
      <c r="B320" t="s">
        <v>1027</v>
      </c>
      <c r="C320">
        <v>-1949</v>
      </c>
      <c r="D320" t="s">
        <v>155</v>
      </c>
      <c r="E320" t="s">
        <v>655</v>
      </c>
      <c r="F320" t="s">
        <v>32</v>
      </c>
      <c r="G320">
        <v>8.1</v>
      </c>
      <c r="I320" t="s">
        <v>1028</v>
      </c>
      <c r="J320" s="3">
        <v>32708</v>
      </c>
      <c r="K320" s="3" t="str">
        <f t="shared" si="21"/>
        <v>Must Watch</v>
      </c>
      <c r="L320" s="3" t="str">
        <f t="shared" si="18"/>
        <v>Don't Watch</v>
      </c>
      <c r="M320" s="3"/>
      <c r="N320" s="3" t="str">
        <f t="shared" si="19"/>
        <v>Maybe</v>
      </c>
      <c r="P320" t="b">
        <f t="shared" si="20"/>
        <v>0</v>
      </c>
    </row>
    <row r="321" spans="1:16" x14ac:dyDescent="0.25">
      <c r="A321">
        <v>320</v>
      </c>
      <c r="B321" t="s">
        <v>1029</v>
      </c>
      <c r="C321">
        <v>-1949</v>
      </c>
      <c r="D321" t="s">
        <v>155</v>
      </c>
      <c r="E321" t="s">
        <v>418</v>
      </c>
      <c r="F321" t="s">
        <v>1030</v>
      </c>
      <c r="G321">
        <v>8.1</v>
      </c>
      <c r="H321">
        <v>97</v>
      </c>
      <c r="I321" t="s">
        <v>1031</v>
      </c>
      <c r="J321" s="3">
        <v>170010</v>
      </c>
      <c r="K321" s="3" t="str">
        <f t="shared" si="21"/>
        <v>Must Watch</v>
      </c>
      <c r="L321" s="3" t="str">
        <f t="shared" si="18"/>
        <v>Don't Watch</v>
      </c>
      <c r="M321" s="3"/>
      <c r="N321" s="3" t="str">
        <f t="shared" si="19"/>
        <v>Maybe</v>
      </c>
      <c r="O321" t="s">
        <v>1032</v>
      </c>
      <c r="P321" t="b">
        <f t="shared" si="20"/>
        <v>0</v>
      </c>
    </row>
    <row r="322" spans="1:16" x14ac:dyDescent="0.25">
      <c r="A322">
        <v>321</v>
      </c>
      <c r="B322" t="s">
        <v>1033</v>
      </c>
      <c r="C322">
        <v>-1948</v>
      </c>
      <c r="D322" t="s">
        <v>49</v>
      </c>
      <c r="E322" t="s">
        <v>309</v>
      </c>
      <c r="F322" t="s">
        <v>921</v>
      </c>
      <c r="G322">
        <v>8.1</v>
      </c>
      <c r="I322" t="s">
        <v>1034</v>
      </c>
      <c r="J322" s="3">
        <v>34698</v>
      </c>
      <c r="K322" s="3" t="str">
        <f t="shared" si="21"/>
        <v>Must Watch</v>
      </c>
      <c r="L322" s="3" t="str">
        <f t="shared" si="18"/>
        <v>Don't Watch</v>
      </c>
      <c r="M322" s="3"/>
      <c r="N322" s="3" t="str">
        <f t="shared" si="19"/>
        <v>Maybe</v>
      </c>
      <c r="O322" t="s">
        <v>1035</v>
      </c>
      <c r="P322" t="b">
        <f t="shared" si="20"/>
        <v>0</v>
      </c>
    </row>
    <row r="323" spans="1:16" x14ac:dyDescent="0.25">
      <c r="A323">
        <v>322</v>
      </c>
      <c r="B323" t="s">
        <v>1036</v>
      </c>
      <c r="C323">
        <v>-1946</v>
      </c>
      <c r="D323" t="s">
        <v>49</v>
      </c>
      <c r="E323" t="s">
        <v>303</v>
      </c>
      <c r="F323" t="s">
        <v>250</v>
      </c>
      <c r="G323">
        <v>8.1</v>
      </c>
      <c r="H323">
        <v>93</v>
      </c>
      <c r="I323" t="s">
        <v>1006</v>
      </c>
      <c r="J323" s="3">
        <v>63578</v>
      </c>
      <c r="K323" s="3" t="str">
        <f t="shared" si="21"/>
        <v>Must Watch</v>
      </c>
      <c r="L323" s="3" t="str">
        <f t="shared" ref="L323:L386" si="22">IF(G323=9,"Must Watch",IF(G323=8,"Maybe","Don't Watch"))</f>
        <v>Don't Watch</v>
      </c>
      <c r="M323" s="3"/>
      <c r="N323" s="3" t="str">
        <f t="shared" ref="N323:N386" si="23">IF(I323="Billy Wilder", "Must Watch", IF(I323="John Ford", "Watch", "Maybe"))</f>
        <v>Maybe</v>
      </c>
      <c r="O323" t="s">
        <v>1037</v>
      </c>
      <c r="P323" t="b">
        <f t="shared" ref="P323:P386" si="24">ISNUMBER(B:B)</f>
        <v>0</v>
      </c>
    </row>
    <row r="324" spans="1:16" x14ac:dyDescent="0.25">
      <c r="A324">
        <v>323</v>
      </c>
      <c r="B324" t="s">
        <v>1038</v>
      </c>
      <c r="C324">
        <v>-1940</v>
      </c>
      <c r="D324" t="s">
        <v>49</v>
      </c>
      <c r="E324" t="s">
        <v>436</v>
      </c>
      <c r="F324" t="s">
        <v>132</v>
      </c>
      <c r="G324">
        <v>8.1</v>
      </c>
      <c r="H324">
        <v>96</v>
      </c>
      <c r="I324" t="s">
        <v>702</v>
      </c>
      <c r="J324" s="3">
        <v>32731</v>
      </c>
      <c r="K324" s="3" t="str">
        <f t="shared" si="21"/>
        <v>Must Watch</v>
      </c>
      <c r="L324" s="3" t="str">
        <f t="shared" si="22"/>
        <v>Don't Watch</v>
      </c>
      <c r="M324" s="3"/>
      <c r="N324" s="3" t="str">
        <f t="shared" si="23"/>
        <v>Maybe</v>
      </c>
      <c r="O324" t="s">
        <v>1039</v>
      </c>
      <c r="P324" t="b">
        <f t="shared" si="24"/>
        <v>0</v>
      </c>
    </row>
    <row r="325" spans="1:16" x14ac:dyDescent="0.25">
      <c r="A325">
        <v>324</v>
      </c>
      <c r="B325" t="s">
        <v>1040</v>
      </c>
      <c r="C325">
        <v>-1940</v>
      </c>
      <c r="D325" t="s">
        <v>155</v>
      </c>
      <c r="E325" t="s">
        <v>108</v>
      </c>
      <c r="F325" t="s">
        <v>1041</v>
      </c>
      <c r="G325">
        <v>8.1</v>
      </c>
      <c r="H325">
        <v>86</v>
      </c>
      <c r="I325" t="s">
        <v>243</v>
      </c>
      <c r="J325" s="3">
        <v>135688</v>
      </c>
      <c r="K325" s="3" t="str">
        <f t="shared" si="21"/>
        <v>Must Watch</v>
      </c>
      <c r="L325" s="3" t="str">
        <f t="shared" si="22"/>
        <v>Don't Watch</v>
      </c>
      <c r="M325" s="3"/>
      <c r="N325" s="3" t="str">
        <f t="shared" si="23"/>
        <v>Maybe</v>
      </c>
      <c r="O325" t="s">
        <v>52</v>
      </c>
      <c r="P325" t="b">
        <f t="shared" si="24"/>
        <v>0</v>
      </c>
    </row>
    <row r="326" spans="1:16" x14ac:dyDescent="0.25">
      <c r="A326">
        <v>325</v>
      </c>
      <c r="B326" t="s">
        <v>1042</v>
      </c>
      <c r="C326">
        <v>-1940</v>
      </c>
      <c r="D326" t="s">
        <v>155</v>
      </c>
      <c r="E326" t="s">
        <v>452</v>
      </c>
      <c r="F326" t="s">
        <v>20</v>
      </c>
      <c r="G326">
        <v>8.1</v>
      </c>
      <c r="H326">
        <v>96</v>
      </c>
      <c r="I326" t="s">
        <v>998</v>
      </c>
      <c r="J326" s="3">
        <v>92191</v>
      </c>
      <c r="K326" s="3" t="str">
        <f t="shared" si="21"/>
        <v>Must Watch</v>
      </c>
      <c r="L326" s="3" t="str">
        <f t="shared" si="22"/>
        <v>Don't Watch</v>
      </c>
      <c r="M326" s="3"/>
      <c r="N326" s="3" t="str">
        <f t="shared" si="23"/>
        <v>Watch</v>
      </c>
      <c r="O326" t="s">
        <v>488</v>
      </c>
      <c r="P326" t="b">
        <f t="shared" si="24"/>
        <v>0</v>
      </c>
    </row>
    <row r="327" spans="1:16" x14ac:dyDescent="0.25">
      <c r="A327">
        <v>326</v>
      </c>
      <c r="B327" t="s">
        <v>1043</v>
      </c>
      <c r="C327">
        <v>-1939</v>
      </c>
      <c r="D327" t="s">
        <v>155</v>
      </c>
      <c r="E327" t="s">
        <v>249</v>
      </c>
      <c r="F327" t="s">
        <v>1044</v>
      </c>
      <c r="G327">
        <v>8.1</v>
      </c>
      <c r="H327">
        <v>92</v>
      </c>
      <c r="I327" t="s">
        <v>705</v>
      </c>
      <c r="J327" s="3">
        <v>392494</v>
      </c>
      <c r="K327" s="3" t="str">
        <f t="shared" ref="K327:K390" si="25">IF(G327&lt;7.9, "Don't Watch", IF(G327&gt;8, "Must Watch", "Maybe"))</f>
        <v>Must Watch</v>
      </c>
      <c r="L327" s="3" t="str">
        <f t="shared" si="22"/>
        <v>Don't Watch</v>
      </c>
      <c r="M327" s="3"/>
      <c r="N327" s="3" t="str">
        <f t="shared" si="23"/>
        <v>Maybe</v>
      </c>
      <c r="O327" t="s">
        <v>1045</v>
      </c>
      <c r="P327" t="b">
        <f t="shared" si="24"/>
        <v>0</v>
      </c>
    </row>
    <row r="328" spans="1:16" x14ac:dyDescent="0.25">
      <c r="A328">
        <v>327</v>
      </c>
      <c r="B328" t="s">
        <v>1046</v>
      </c>
      <c r="C328">
        <v>-1939</v>
      </c>
      <c r="D328" t="s">
        <v>49</v>
      </c>
      <c r="E328" t="s">
        <v>452</v>
      </c>
      <c r="F328" t="s">
        <v>304</v>
      </c>
      <c r="G328">
        <v>8.1</v>
      </c>
      <c r="H328">
        <v>73</v>
      </c>
      <c r="I328" t="s">
        <v>161</v>
      </c>
      <c r="J328" s="3">
        <v>114695</v>
      </c>
      <c r="K328" s="3" t="str">
        <f t="shared" si="25"/>
        <v>Must Watch</v>
      </c>
      <c r="L328" s="3" t="str">
        <f t="shared" si="22"/>
        <v>Don't Watch</v>
      </c>
      <c r="M328" s="3"/>
      <c r="N328" s="3" t="str">
        <f t="shared" si="23"/>
        <v>Maybe</v>
      </c>
      <c r="O328" t="s">
        <v>1021</v>
      </c>
      <c r="P328" t="b">
        <f t="shared" si="24"/>
        <v>0</v>
      </c>
    </row>
    <row r="329" spans="1:16" x14ac:dyDescent="0.25">
      <c r="A329">
        <v>328</v>
      </c>
      <c r="B329" t="s">
        <v>1047</v>
      </c>
      <c r="C329">
        <v>-1937</v>
      </c>
      <c r="D329" t="s">
        <v>49</v>
      </c>
      <c r="E329" t="s">
        <v>325</v>
      </c>
      <c r="F329" t="s">
        <v>124</v>
      </c>
      <c r="G329">
        <v>8.1</v>
      </c>
      <c r="I329" t="s">
        <v>1048</v>
      </c>
      <c r="J329" s="3">
        <v>36438</v>
      </c>
      <c r="K329" s="3" t="str">
        <f t="shared" si="25"/>
        <v>Must Watch</v>
      </c>
      <c r="L329" s="3" t="str">
        <f t="shared" si="22"/>
        <v>Don't Watch</v>
      </c>
      <c r="M329" s="3"/>
      <c r="N329" s="3" t="str">
        <f t="shared" si="23"/>
        <v>Maybe</v>
      </c>
      <c r="O329" t="s">
        <v>904</v>
      </c>
      <c r="P329" t="b">
        <f t="shared" si="24"/>
        <v>0</v>
      </c>
    </row>
    <row r="330" spans="1:16" x14ac:dyDescent="0.25">
      <c r="A330">
        <v>329</v>
      </c>
      <c r="B330" t="s">
        <v>1049</v>
      </c>
      <c r="C330">
        <v>-1934</v>
      </c>
      <c r="D330" t="s">
        <v>155</v>
      </c>
      <c r="E330" t="s">
        <v>291</v>
      </c>
      <c r="F330" t="s">
        <v>414</v>
      </c>
      <c r="G330">
        <v>8.1</v>
      </c>
      <c r="H330">
        <v>87</v>
      </c>
      <c r="I330" t="s">
        <v>161</v>
      </c>
      <c r="J330" s="3">
        <v>102808</v>
      </c>
      <c r="K330" s="3" t="str">
        <f t="shared" si="25"/>
        <v>Must Watch</v>
      </c>
      <c r="L330" s="3" t="str">
        <f t="shared" si="22"/>
        <v>Don't Watch</v>
      </c>
      <c r="M330" s="3"/>
      <c r="N330" s="3" t="str">
        <f t="shared" si="23"/>
        <v>Maybe</v>
      </c>
      <c r="O330" t="s">
        <v>52</v>
      </c>
      <c r="P330" t="b">
        <f t="shared" si="24"/>
        <v>0</v>
      </c>
    </row>
    <row r="331" spans="1:16" x14ac:dyDescent="0.25">
      <c r="A331">
        <v>330</v>
      </c>
      <c r="B331" t="s">
        <v>1050</v>
      </c>
      <c r="C331">
        <v>-1930</v>
      </c>
      <c r="D331" t="s">
        <v>74</v>
      </c>
      <c r="E331" t="s">
        <v>31</v>
      </c>
      <c r="F331" t="s">
        <v>124</v>
      </c>
      <c r="G331">
        <v>8.1</v>
      </c>
      <c r="H331">
        <v>91</v>
      </c>
      <c r="I331" t="s">
        <v>1051</v>
      </c>
      <c r="J331" s="3">
        <v>61054</v>
      </c>
      <c r="K331" s="3" t="str">
        <f t="shared" si="25"/>
        <v>Must Watch</v>
      </c>
      <c r="L331" s="3" t="str">
        <f t="shared" si="22"/>
        <v>Don't Watch</v>
      </c>
      <c r="M331" s="3"/>
      <c r="N331" s="3" t="str">
        <f t="shared" si="23"/>
        <v>Maybe</v>
      </c>
      <c r="O331" t="s">
        <v>1052</v>
      </c>
      <c r="P331" t="b">
        <f t="shared" si="24"/>
        <v>0</v>
      </c>
    </row>
    <row r="332" spans="1:16" x14ac:dyDescent="0.25">
      <c r="A332">
        <v>331</v>
      </c>
      <c r="B332" t="s">
        <v>1053</v>
      </c>
      <c r="C332">
        <v>-1928</v>
      </c>
      <c r="D332" t="s">
        <v>49</v>
      </c>
      <c r="E332" t="s">
        <v>1054</v>
      </c>
      <c r="F332" t="s">
        <v>1055</v>
      </c>
      <c r="G332">
        <v>8.1</v>
      </c>
      <c r="H332">
        <v>90</v>
      </c>
      <c r="I332" t="s">
        <v>255</v>
      </c>
      <c r="J332" s="3">
        <v>33479</v>
      </c>
      <c r="K332" s="3" t="str">
        <f t="shared" si="25"/>
        <v>Must Watch</v>
      </c>
      <c r="L332" s="3" t="str">
        <f t="shared" si="22"/>
        <v>Don't Watch</v>
      </c>
      <c r="M332" s="3"/>
      <c r="N332" s="3" t="str">
        <f t="shared" si="23"/>
        <v>Maybe</v>
      </c>
      <c r="P332" t="b">
        <f t="shared" si="24"/>
        <v>0</v>
      </c>
    </row>
    <row r="333" spans="1:16" x14ac:dyDescent="0.25">
      <c r="A333">
        <v>332</v>
      </c>
      <c r="B333" t="s">
        <v>1056</v>
      </c>
      <c r="C333">
        <v>-1927</v>
      </c>
      <c r="D333" t="s">
        <v>155</v>
      </c>
      <c r="E333" t="s">
        <v>1057</v>
      </c>
      <c r="F333" t="s">
        <v>78</v>
      </c>
      <c r="G333">
        <v>8.1</v>
      </c>
      <c r="I333" t="s">
        <v>1058</v>
      </c>
      <c r="J333" s="3">
        <v>50745</v>
      </c>
      <c r="K333" s="3" t="str">
        <f t="shared" si="25"/>
        <v>Must Watch</v>
      </c>
      <c r="L333" s="3" t="str">
        <f t="shared" si="22"/>
        <v>Don't Watch</v>
      </c>
      <c r="M333" s="3"/>
      <c r="N333" s="3" t="str">
        <f t="shared" si="23"/>
        <v>Maybe</v>
      </c>
      <c r="O333" t="s">
        <v>482</v>
      </c>
      <c r="P333" t="b">
        <f t="shared" si="24"/>
        <v>0</v>
      </c>
    </row>
    <row r="334" spans="1:16" x14ac:dyDescent="0.25">
      <c r="A334">
        <v>333</v>
      </c>
      <c r="B334" t="s">
        <v>1059</v>
      </c>
      <c r="C334">
        <v>-2018</v>
      </c>
      <c r="D334" t="s">
        <v>30</v>
      </c>
      <c r="E334" t="s">
        <v>99</v>
      </c>
      <c r="F334" t="s">
        <v>304</v>
      </c>
      <c r="G334">
        <v>8</v>
      </c>
      <c r="I334" t="s">
        <v>1060</v>
      </c>
      <c r="J334" s="3">
        <v>33849</v>
      </c>
      <c r="K334" s="3" t="str">
        <f t="shared" si="25"/>
        <v>Maybe</v>
      </c>
      <c r="L334" s="3" t="str">
        <f t="shared" si="22"/>
        <v>Maybe</v>
      </c>
      <c r="M334" s="3"/>
      <c r="N334" s="3" t="str">
        <f t="shared" si="23"/>
        <v>Maybe</v>
      </c>
      <c r="P334" t="b">
        <f t="shared" si="24"/>
        <v>0</v>
      </c>
    </row>
    <row r="335" spans="1:16" x14ac:dyDescent="0.25">
      <c r="A335">
        <v>334</v>
      </c>
      <c r="B335" t="s">
        <v>1061</v>
      </c>
      <c r="C335">
        <v>-2020</v>
      </c>
      <c r="D335" t="s">
        <v>74</v>
      </c>
      <c r="E335" t="s">
        <v>403</v>
      </c>
      <c r="F335" t="s">
        <v>120</v>
      </c>
      <c r="G335">
        <v>8</v>
      </c>
      <c r="H335">
        <v>87</v>
      </c>
      <c r="I335" t="s">
        <v>1062</v>
      </c>
      <c r="J335" s="3">
        <v>30951</v>
      </c>
      <c r="K335" s="3" t="str">
        <f t="shared" si="25"/>
        <v>Maybe</v>
      </c>
      <c r="L335" s="3" t="str">
        <f t="shared" si="22"/>
        <v>Maybe</v>
      </c>
      <c r="M335" s="3"/>
      <c r="N335" s="3" t="str">
        <f t="shared" si="23"/>
        <v>Maybe</v>
      </c>
      <c r="P335" t="b">
        <f t="shared" si="24"/>
        <v>0</v>
      </c>
    </row>
    <row r="336" spans="1:16" x14ac:dyDescent="0.25">
      <c r="A336">
        <v>335</v>
      </c>
      <c r="B336" t="s">
        <v>1063</v>
      </c>
      <c r="C336">
        <v>-2016</v>
      </c>
      <c r="D336">
        <v>15</v>
      </c>
      <c r="E336" t="s">
        <v>171</v>
      </c>
      <c r="F336" t="s">
        <v>56</v>
      </c>
      <c r="G336">
        <v>8</v>
      </c>
      <c r="I336" t="s">
        <v>1064</v>
      </c>
      <c r="J336" s="3">
        <v>172096</v>
      </c>
      <c r="K336" s="3" t="str">
        <f t="shared" si="25"/>
        <v>Maybe</v>
      </c>
      <c r="L336" s="3" t="str">
        <f t="shared" si="22"/>
        <v>Maybe</v>
      </c>
      <c r="M336" s="3"/>
      <c r="N336" s="3" t="str">
        <f t="shared" si="23"/>
        <v>Maybe</v>
      </c>
      <c r="P336" t="b">
        <f t="shared" si="24"/>
        <v>0</v>
      </c>
    </row>
    <row r="337" spans="1:16" x14ac:dyDescent="0.25">
      <c r="A337">
        <v>336</v>
      </c>
      <c r="B337" t="s">
        <v>1065</v>
      </c>
      <c r="C337">
        <v>-2016</v>
      </c>
      <c r="D337" t="s">
        <v>30</v>
      </c>
      <c r="E337" t="s">
        <v>477</v>
      </c>
      <c r="F337" t="s">
        <v>1066</v>
      </c>
      <c r="G337">
        <v>8</v>
      </c>
      <c r="H337">
        <v>94</v>
      </c>
      <c r="I337" t="s">
        <v>173</v>
      </c>
      <c r="J337" s="3">
        <v>569293</v>
      </c>
      <c r="K337" s="3" t="str">
        <f t="shared" si="25"/>
        <v>Maybe</v>
      </c>
      <c r="L337" s="3" t="str">
        <f t="shared" si="22"/>
        <v>Maybe</v>
      </c>
      <c r="M337" s="3"/>
      <c r="N337" s="3" t="str">
        <f t="shared" si="23"/>
        <v>Maybe</v>
      </c>
      <c r="O337" t="s">
        <v>1067</v>
      </c>
      <c r="P337" t="b">
        <f t="shared" si="24"/>
        <v>0</v>
      </c>
    </row>
    <row r="338" spans="1:16" x14ac:dyDescent="0.25">
      <c r="A338">
        <v>337</v>
      </c>
      <c r="B338" t="s">
        <v>1068</v>
      </c>
      <c r="C338">
        <v>-2016</v>
      </c>
      <c r="D338" t="s">
        <v>74</v>
      </c>
      <c r="E338" t="s">
        <v>143</v>
      </c>
      <c r="F338" t="s">
        <v>606</v>
      </c>
      <c r="G338">
        <v>8</v>
      </c>
      <c r="H338">
        <v>69</v>
      </c>
      <c r="I338" t="s">
        <v>1069</v>
      </c>
      <c r="J338" s="3">
        <v>233400</v>
      </c>
      <c r="K338" s="3" t="str">
        <f t="shared" si="25"/>
        <v>Maybe</v>
      </c>
      <c r="L338" s="3" t="str">
        <f t="shared" si="22"/>
        <v>Maybe</v>
      </c>
      <c r="M338" s="3"/>
      <c r="N338" s="3" t="str">
        <f t="shared" si="23"/>
        <v>Maybe</v>
      </c>
      <c r="O338" t="s">
        <v>1070</v>
      </c>
      <c r="P338" t="b">
        <f t="shared" si="24"/>
        <v>0</v>
      </c>
    </row>
    <row r="339" spans="1:16" x14ac:dyDescent="0.25">
      <c r="A339">
        <v>338</v>
      </c>
      <c r="B339" t="s">
        <v>1071</v>
      </c>
      <c r="C339">
        <v>-2015</v>
      </c>
      <c r="D339" t="s">
        <v>30</v>
      </c>
      <c r="E339" t="s">
        <v>1072</v>
      </c>
      <c r="F339" t="s">
        <v>113</v>
      </c>
      <c r="G339">
        <v>8</v>
      </c>
      <c r="H339">
        <v>80</v>
      </c>
      <c r="I339" t="s">
        <v>199</v>
      </c>
      <c r="J339" s="3">
        <v>833166</v>
      </c>
      <c r="K339" s="3" t="str">
        <f t="shared" si="25"/>
        <v>Maybe</v>
      </c>
      <c r="L339" s="3" t="str">
        <f t="shared" si="22"/>
        <v>Maybe</v>
      </c>
      <c r="M339" s="3"/>
      <c r="N339" s="3" t="str">
        <f t="shared" si="23"/>
        <v>Maybe</v>
      </c>
      <c r="O339" t="s">
        <v>1073</v>
      </c>
      <c r="P339" t="b">
        <f t="shared" si="24"/>
        <v>0</v>
      </c>
    </row>
    <row r="340" spans="1:16" x14ac:dyDescent="0.25">
      <c r="A340">
        <v>339</v>
      </c>
      <c r="B340" t="s">
        <v>1074</v>
      </c>
      <c r="C340" t="s">
        <v>1075</v>
      </c>
      <c r="D340">
        <v>15</v>
      </c>
      <c r="E340" t="s">
        <v>70</v>
      </c>
      <c r="F340" t="s">
        <v>20</v>
      </c>
      <c r="G340">
        <v>8</v>
      </c>
      <c r="H340">
        <v>74</v>
      </c>
      <c r="I340" t="s">
        <v>1076</v>
      </c>
      <c r="J340" s="3">
        <v>56318</v>
      </c>
      <c r="K340" s="3" t="str">
        <f t="shared" si="25"/>
        <v>Maybe</v>
      </c>
      <c r="L340" s="3" t="str">
        <f t="shared" si="22"/>
        <v>Maybe</v>
      </c>
      <c r="M340" s="3"/>
      <c r="N340" s="3" t="str">
        <f t="shared" si="23"/>
        <v>Maybe</v>
      </c>
      <c r="O340" t="s">
        <v>1077</v>
      </c>
      <c r="P340" t="b">
        <f t="shared" si="24"/>
        <v>0</v>
      </c>
    </row>
    <row r="341" spans="1:16" x14ac:dyDescent="0.25">
      <c r="A341">
        <v>340</v>
      </c>
      <c r="B341" t="s">
        <v>1078</v>
      </c>
      <c r="C341">
        <v>-2020</v>
      </c>
      <c r="D341" t="s">
        <v>74</v>
      </c>
      <c r="E341" t="s">
        <v>613</v>
      </c>
      <c r="F341" t="s">
        <v>292</v>
      </c>
      <c r="G341">
        <v>8</v>
      </c>
      <c r="H341">
        <v>83</v>
      </c>
      <c r="I341" t="s">
        <v>396</v>
      </c>
      <c r="J341" s="3">
        <v>313280</v>
      </c>
      <c r="K341" s="3" t="str">
        <f t="shared" si="25"/>
        <v>Maybe</v>
      </c>
      <c r="L341" s="3" t="str">
        <f t="shared" si="22"/>
        <v>Maybe</v>
      </c>
      <c r="M341" s="3"/>
      <c r="N341" s="3" t="str">
        <f t="shared" si="23"/>
        <v>Maybe</v>
      </c>
      <c r="P341" t="b">
        <f t="shared" si="24"/>
        <v>0</v>
      </c>
    </row>
    <row r="342" spans="1:16" x14ac:dyDescent="0.25">
      <c r="A342">
        <v>341</v>
      </c>
      <c r="B342" t="s">
        <v>1079</v>
      </c>
      <c r="C342">
        <v>-2016</v>
      </c>
      <c r="D342" t="s">
        <v>74</v>
      </c>
      <c r="E342" t="s">
        <v>409</v>
      </c>
      <c r="F342" t="s">
        <v>292</v>
      </c>
      <c r="G342">
        <v>8</v>
      </c>
      <c r="H342">
        <v>78</v>
      </c>
      <c r="I342" t="s">
        <v>1080</v>
      </c>
      <c r="J342" s="3">
        <v>485575</v>
      </c>
      <c r="K342" s="3" t="str">
        <f t="shared" si="25"/>
        <v>Maybe</v>
      </c>
      <c r="L342" s="3" t="str">
        <f t="shared" si="22"/>
        <v>Maybe</v>
      </c>
      <c r="M342" s="3"/>
      <c r="N342" s="3" t="str">
        <f t="shared" si="23"/>
        <v>Maybe</v>
      </c>
      <c r="O342" t="s">
        <v>1081</v>
      </c>
      <c r="P342" t="b">
        <f t="shared" si="24"/>
        <v>0</v>
      </c>
    </row>
    <row r="343" spans="1:16" x14ac:dyDescent="0.25">
      <c r="A343">
        <v>342</v>
      </c>
      <c r="B343" t="s">
        <v>1082</v>
      </c>
      <c r="C343">
        <v>-2014</v>
      </c>
      <c r="D343">
        <v>15</v>
      </c>
      <c r="E343" t="s">
        <v>1083</v>
      </c>
      <c r="F343" t="s">
        <v>20</v>
      </c>
      <c r="G343">
        <v>8</v>
      </c>
      <c r="H343">
        <v>88</v>
      </c>
      <c r="I343" t="s">
        <v>1084</v>
      </c>
      <c r="J343" s="3">
        <v>51309</v>
      </c>
      <c r="K343" s="3" t="str">
        <f t="shared" si="25"/>
        <v>Maybe</v>
      </c>
      <c r="L343" s="3" t="str">
        <f t="shared" si="22"/>
        <v>Maybe</v>
      </c>
      <c r="M343" s="3"/>
      <c r="N343" s="3" t="str">
        <f t="shared" si="23"/>
        <v>Maybe</v>
      </c>
      <c r="O343" t="s">
        <v>904</v>
      </c>
      <c r="P343" t="b">
        <f t="shared" si="24"/>
        <v>0</v>
      </c>
    </row>
    <row r="344" spans="1:16" x14ac:dyDescent="0.25">
      <c r="A344">
        <v>343</v>
      </c>
      <c r="B344" t="s">
        <v>1085</v>
      </c>
      <c r="C344">
        <v>-2015</v>
      </c>
      <c r="D344">
        <v>15</v>
      </c>
      <c r="E344" t="s">
        <v>1086</v>
      </c>
      <c r="F344" t="s">
        <v>109</v>
      </c>
      <c r="G344">
        <v>8</v>
      </c>
      <c r="I344" t="s">
        <v>535</v>
      </c>
      <c r="J344" s="3">
        <v>119177</v>
      </c>
      <c r="K344" s="3" t="str">
        <f t="shared" si="25"/>
        <v>Maybe</v>
      </c>
      <c r="L344" s="3" t="str">
        <f t="shared" si="22"/>
        <v>Maybe</v>
      </c>
      <c r="M344" s="3"/>
      <c r="N344" s="3" t="str">
        <f t="shared" si="23"/>
        <v>Maybe</v>
      </c>
      <c r="O344" t="s">
        <v>1087</v>
      </c>
      <c r="P344" t="b">
        <f t="shared" si="24"/>
        <v>0</v>
      </c>
    </row>
    <row r="345" spans="1:16" x14ac:dyDescent="0.25">
      <c r="A345">
        <v>344</v>
      </c>
      <c r="B345" t="s">
        <v>1088</v>
      </c>
      <c r="C345">
        <v>-2013</v>
      </c>
      <c r="D345" t="s">
        <v>49</v>
      </c>
      <c r="E345" t="s">
        <v>139</v>
      </c>
      <c r="F345" t="s">
        <v>779</v>
      </c>
      <c r="G345">
        <v>8</v>
      </c>
      <c r="H345">
        <v>89</v>
      </c>
      <c r="I345" t="s">
        <v>223</v>
      </c>
      <c r="J345" s="3">
        <v>45686</v>
      </c>
      <c r="K345" s="3" t="str">
        <f t="shared" si="25"/>
        <v>Maybe</v>
      </c>
      <c r="L345" s="3" t="str">
        <f t="shared" si="22"/>
        <v>Maybe</v>
      </c>
      <c r="M345" s="3"/>
      <c r="N345" s="3" t="str">
        <f t="shared" si="23"/>
        <v>Maybe</v>
      </c>
      <c r="O345" t="s">
        <v>1089</v>
      </c>
      <c r="P345" t="b">
        <f t="shared" si="24"/>
        <v>0</v>
      </c>
    </row>
    <row r="346" spans="1:16" x14ac:dyDescent="0.25">
      <c r="A346">
        <v>345</v>
      </c>
      <c r="B346" t="s">
        <v>1090</v>
      </c>
      <c r="C346">
        <v>-2013</v>
      </c>
      <c r="D346" t="s">
        <v>74</v>
      </c>
      <c r="E346" t="s">
        <v>1072</v>
      </c>
      <c r="F346" t="s">
        <v>144</v>
      </c>
      <c r="G346">
        <v>8</v>
      </c>
      <c r="I346" t="s">
        <v>815</v>
      </c>
      <c r="J346" s="3">
        <v>55814</v>
      </c>
      <c r="K346" s="3" t="str">
        <f t="shared" si="25"/>
        <v>Maybe</v>
      </c>
      <c r="L346" s="3" t="str">
        <f t="shared" si="22"/>
        <v>Maybe</v>
      </c>
      <c r="M346" s="3"/>
      <c r="N346" s="3" t="str">
        <f t="shared" si="23"/>
        <v>Maybe</v>
      </c>
      <c r="O346" t="s">
        <v>1091</v>
      </c>
      <c r="P346" t="b">
        <f t="shared" si="24"/>
        <v>0</v>
      </c>
    </row>
    <row r="347" spans="1:16" x14ac:dyDescent="0.25">
      <c r="A347">
        <v>346</v>
      </c>
      <c r="B347" t="s">
        <v>1092</v>
      </c>
      <c r="C347">
        <v>-2014</v>
      </c>
      <c r="D347" t="s">
        <v>30</v>
      </c>
      <c r="E347" t="s">
        <v>655</v>
      </c>
      <c r="F347" t="s">
        <v>1093</v>
      </c>
      <c r="G347">
        <v>8</v>
      </c>
      <c r="H347">
        <v>71</v>
      </c>
      <c r="I347" t="s">
        <v>1094</v>
      </c>
      <c r="J347" s="3">
        <v>753663</v>
      </c>
      <c r="K347" s="3" t="str">
        <f t="shared" si="25"/>
        <v>Maybe</v>
      </c>
      <c r="L347" s="3" t="str">
        <f t="shared" si="22"/>
        <v>Maybe</v>
      </c>
      <c r="M347" s="3"/>
      <c r="N347" s="3" t="str">
        <f t="shared" si="23"/>
        <v>Maybe</v>
      </c>
      <c r="O347" t="s">
        <v>1095</v>
      </c>
      <c r="P347" t="b">
        <f t="shared" si="24"/>
        <v>0</v>
      </c>
    </row>
    <row r="348" spans="1:16" x14ac:dyDescent="0.25">
      <c r="A348">
        <v>347</v>
      </c>
      <c r="B348" t="s">
        <v>1096</v>
      </c>
      <c r="C348">
        <v>-2014</v>
      </c>
      <c r="D348" t="s">
        <v>30</v>
      </c>
      <c r="E348" t="s">
        <v>148</v>
      </c>
      <c r="F348" t="s">
        <v>371</v>
      </c>
      <c r="G348">
        <v>8</v>
      </c>
      <c r="H348">
        <v>76</v>
      </c>
      <c r="I348" t="s">
        <v>1097</v>
      </c>
      <c r="J348" s="3">
        <v>1147756</v>
      </c>
      <c r="K348" s="3" t="str">
        <f t="shared" si="25"/>
        <v>Maybe</v>
      </c>
      <c r="L348" s="3" t="str">
        <f t="shared" si="22"/>
        <v>Maybe</v>
      </c>
      <c r="M348" s="3"/>
      <c r="N348" s="3" t="str">
        <f t="shared" si="23"/>
        <v>Maybe</v>
      </c>
      <c r="O348" t="s">
        <v>1098</v>
      </c>
      <c r="P348" t="b">
        <f t="shared" si="24"/>
        <v>0</v>
      </c>
    </row>
    <row r="349" spans="1:16" x14ac:dyDescent="0.25">
      <c r="A349">
        <v>348</v>
      </c>
      <c r="B349" t="s">
        <v>1099</v>
      </c>
      <c r="C349">
        <v>-2014</v>
      </c>
      <c r="D349" t="s">
        <v>74</v>
      </c>
      <c r="E349" t="s">
        <v>823</v>
      </c>
      <c r="F349" t="s">
        <v>214</v>
      </c>
      <c r="G349">
        <v>8</v>
      </c>
      <c r="H349">
        <v>85</v>
      </c>
      <c r="I349" t="s">
        <v>1062</v>
      </c>
      <c r="J349" s="3">
        <v>57705</v>
      </c>
      <c r="K349" s="3" t="str">
        <f t="shared" si="25"/>
        <v>Maybe</v>
      </c>
      <c r="L349" s="3" t="str">
        <f t="shared" si="22"/>
        <v>Maybe</v>
      </c>
      <c r="M349" s="3"/>
      <c r="N349" s="3" t="str">
        <f t="shared" si="23"/>
        <v>Maybe</v>
      </c>
      <c r="O349" t="s">
        <v>1100</v>
      </c>
      <c r="P349" t="b">
        <f t="shared" si="24"/>
        <v>0</v>
      </c>
    </row>
    <row r="350" spans="1:16" x14ac:dyDescent="0.25">
      <c r="A350">
        <v>349</v>
      </c>
      <c r="B350" t="s">
        <v>1101</v>
      </c>
      <c r="C350">
        <v>-2017</v>
      </c>
      <c r="D350">
        <v>15</v>
      </c>
      <c r="E350" t="s">
        <v>55</v>
      </c>
      <c r="F350" t="s">
        <v>152</v>
      </c>
      <c r="G350">
        <v>8</v>
      </c>
      <c r="H350">
        <v>81</v>
      </c>
      <c r="I350" t="s">
        <v>390</v>
      </c>
      <c r="J350" s="3">
        <v>546231</v>
      </c>
      <c r="K350" s="3" t="str">
        <f t="shared" si="25"/>
        <v>Maybe</v>
      </c>
      <c r="L350" s="3" t="str">
        <f t="shared" si="22"/>
        <v>Maybe</v>
      </c>
      <c r="M350" s="3"/>
      <c r="N350" s="3" t="str">
        <f t="shared" si="23"/>
        <v>Maybe</v>
      </c>
      <c r="O350" t="s">
        <v>1102</v>
      </c>
      <c r="P350" t="b">
        <f t="shared" si="24"/>
        <v>0</v>
      </c>
    </row>
    <row r="351" spans="1:16" x14ac:dyDescent="0.25">
      <c r="A351">
        <v>350</v>
      </c>
      <c r="B351" t="s">
        <v>1103</v>
      </c>
      <c r="C351">
        <v>-2013</v>
      </c>
      <c r="D351">
        <v>15</v>
      </c>
      <c r="E351" t="s">
        <v>263</v>
      </c>
      <c r="F351" t="s">
        <v>410</v>
      </c>
      <c r="G351">
        <v>8</v>
      </c>
      <c r="H351">
        <v>91</v>
      </c>
      <c r="I351" t="s">
        <v>1104</v>
      </c>
      <c r="J351" s="3">
        <v>597377</v>
      </c>
      <c r="K351" s="3" t="str">
        <f t="shared" si="25"/>
        <v>Maybe</v>
      </c>
      <c r="L351" s="3" t="str">
        <f t="shared" si="22"/>
        <v>Maybe</v>
      </c>
      <c r="M351" s="3"/>
      <c r="N351" s="3" t="str">
        <f t="shared" si="23"/>
        <v>Maybe</v>
      </c>
      <c r="O351" t="s">
        <v>1105</v>
      </c>
      <c r="P351" t="b">
        <f t="shared" si="24"/>
        <v>0</v>
      </c>
    </row>
    <row r="352" spans="1:16" x14ac:dyDescent="0.25">
      <c r="A352">
        <v>351</v>
      </c>
      <c r="B352" t="s">
        <v>1106</v>
      </c>
      <c r="C352">
        <v>-2015</v>
      </c>
      <c r="D352">
        <v>15</v>
      </c>
      <c r="E352" t="s">
        <v>527</v>
      </c>
      <c r="F352" t="s">
        <v>37</v>
      </c>
      <c r="G352">
        <v>8</v>
      </c>
      <c r="H352">
        <v>76</v>
      </c>
      <c r="I352" t="s">
        <v>875</v>
      </c>
      <c r="J352" s="3">
        <v>783068</v>
      </c>
      <c r="K352" s="3" t="str">
        <f t="shared" si="25"/>
        <v>Maybe</v>
      </c>
      <c r="L352" s="3" t="str">
        <f t="shared" si="22"/>
        <v>Maybe</v>
      </c>
      <c r="M352" s="3"/>
      <c r="N352" s="3" t="str">
        <f t="shared" si="23"/>
        <v>Maybe</v>
      </c>
      <c r="O352" t="s">
        <v>1107</v>
      </c>
      <c r="P352" t="b">
        <f t="shared" si="24"/>
        <v>0</v>
      </c>
    </row>
    <row r="353" spans="1:16" x14ac:dyDescent="0.25">
      <c r="A353">
        <v>352</v>
      </c>
      <c r="B353" t="s">
        <v>1108</v>
      </c>
      <c r="C353">
        <v>-2012</v>
      </c>
      <c r="D353" t="s">
        <v>30</v>
      </c>
      <c r="E353" t="s">
        <v>403</v>
      </c>
      <c r="F353" t="s">
        <v>78</v>
      </c>
      <c r="G353">
        <v>8</v>
      </c>
      <c r="H353">
        <v>67</v>
      </c>
      <c r="I353" t="s">
        <v>1109</v>
      </c>
      <c r="J353" s="3">
        <v>501180</v>
      </c>
      <c r="K353" s="3" t="str">
        <f t="shared" si="25"/>
        <v>Maybe</v>
      </c>
      <c r="L353" s="3" t="str">
        <f t="shared" si="22"/>
        <v>Maybe</v>
      </c>
      <c r="M353" s="3"/>
      <c r="N353" s="3" t="str">
        <f t="shared" si="23"/>
        <v>Maybe</v>
      </c>
      <c r="O353" t="s">
        <v>1110</v>
      </c>
      <c r="P353" t="b">
        <f t="shared" si="24"/>
        <v>0</v>
      </c>
    </row>
    <row r="354" spans="1:16" x14ac:dyDescent="0.25">
      <c r="A354">
        <v>353</v>
      </c>
      <c r="B354" t="s">
        <v>1111</v>
      </c>
      <c r="C354">
        <v>-2010</v>
      </c>
      <c r="D354">
        <v>18</v>
      </c>
      <c r="E354" t="s">
        <v>342</v>
      </c>
      <c r="F354" t="s">
        <v>32</v>
      </c>
      <c r="G354">
        <v>8</v>
      </c>
      <c r="H354">
        <v>71</v>
      </c>
      <c r="I354" t="s">
        <v>1112</v>
      </c>
      <c r="J354" s="3">
        <v>82697</v>
      </c>
      <c r="K354" s="3" t="str">
        <f t="shared" si="25"/>
        <v>Maybe</v>
      </c>
      <c r="L354" s="3" t="str">
        <f t="shared" si="22"/>
        <v>Maybe</v>
      </c>
      <c r="M354" s="3"/>
      <c r="N354" s="3" t="str">
        <f t="shared" si="23"/>
        <v>Maybe</v>
      </c>
      <c r="O354" t="s">
        <v>693</v>
      </c>
      <c r="P354" t="b">
        <f t="shared" si="24"/>
        <v>0</v>
      </c>
    </row>
    <row r="355" spans="1:16" x14ac:dyDescent="0.25">
      <c r="A355">
        <v>354</v>
      </c>
      <c r="B355" t="s">
        <v>1113</v>
      </c>
      <c r="C355">
        <v>-2010</v>
      </c>
      <c r="D355">
        <v>15</v>
      </c>
      <c r="E355" t="s">
        <v>143</v>
      </c>
      <c r="F355" t="s">
        <v>42</v>
      </c>
      <c r="G355">
        <v>8</v>
      </c>
      <c r="H355">
        <v>88</v>
      </c>
      <c r="I355" t="s">
        <v>1114</v>
      </c>
      <c r="J355" s="3">
        <v>673210</v>
      </c>
      <c r="K355" s="3" t="str">
        <f t="shared" si="25"/>
        <v>Maybe</v>
      </c>
      <c r="L355" s="3" t="str">
        <f t="shared" si="22"/>
        <v>Maybe</v>
      </c>
      <c r="M355" s="3"/>
      <c r="N355" s="3" t="str">
        <f t="shared" si="23"/>
        <v>Maybe</v>
      </c>
      <c r="O355" t="s">
        <v>1115</v>
      </c>
      <c r="P355" t="b">
        <f t="shared" si="24"/>
        <v>0</v>
      </c>
    </row>
    <row r="356" spans="1:16" x14ac:dyDescent="0.25">
      <c r="A356">
        <v>355</v>
      </c>
      <c r="B356" t="s">
        <v>1116</v>
      </c>
      <c r="C356">
        <v>-2016</v>
      </c>
      <c r="D356">
        <v>15</v>
      </c>
      <c r="E356" t="s">
        <v>409</v>
      </c>
      <c r="F356" t="s">
        <v>371</v>
      </c>
      <c r="G356">
        <v>8</v>
      </c>
      <c r="H356">
        <v>65</v>
      </c>
      <c r="I356" t="s">
        <v>1117</v>
      </c>
      <c r="J356" s="3">
        <v>1004679</v>
      </c>
      <c r="K356" s="3" t="str">
        <f t="shared" si="25"/>
        <v>Maybe</v>
      </c>
      <c r="L356" s="3" t="str">
        <f t="shared" si="22"/>
        <v>Maybe</v>
      </c>
      <c r="M356" s="3"/>
      <c r="N356" s="3" t="str">
        <f t="shared" si="23"/>
        <v>Maybe</v>
      </c>
      <c r="O356" t="s">
        <v>1118</v>
      </c>
      <c r="P356" t="b">
        <f t="shared" si="24"/>
        <v>0</v>
      </c>
    </row>
    <row r="357" spans="1:16" x14ac:dyDescent="0.25">
      <c r="A357">
        <v>356</v>
      </c>
      <c r="B357" t="s">
        <v>1119</v>
      </c>
      <c r="C357">
        <v>-2021</v>
      </c>
      <c r="D357">
        <v>15</v>
      </c>
      <c r="E357" t="s">
        <v>1120</v>
      </c>
      <c r="F357" t="s">
        <v>100</v>
      </c>
      <c r="G357">
        <v>8</v>
      </c>
      <c r="H357">
        <v>54</v>
      </c>
      <c r="I357" t="s">
        <v>1121</v>
      </c>
      <c r="J357" s="3">
        <v>381767</v>
      </c>
      <c r="K357" s="3" t="str">
        <f t="shared" si="25"/>
        <v>Maybe</v>
      </c>
      <c r="L357" s="3" t="str">
        <f t="shared" si="22"/>
        <v>Maybe</v>
      </c>
      <c r="M357" s="3"/>
      <c r="N357" s="3" t="str">
        <f t="shared" si="23"/>
        <v>Maybe</v>
      </c>
      <c r="P357" t="b">
        <f t="shared" si="24"/>
        <v>0</v>
      </c>
    </row>
    <row r="358" spans="1:16" x14ac:dyDescent="0.25">
      <c r="A358">
        <v>357</v>
      </c>
      <c r="B358" t="s">
        <v>1122</v>
      </c>
      <c r="C358">
        <v>-2008</v>
      </c>
      <c r="D358">
        <v>15</v>
      </c>
      <c r="E358" t="s">
        <v>171</v>
      </c>
      <c r="F358" t="s">
        <v>310</v>
      </c>
      <c r="G358">
        <v>8</v>
      </c>
      <c r="H358">
        <v>59</v>
      </c>
      <c r="I358" t="s">
        <v>1123</v>
      </c>
      <c r="J358" s="3">
        <v>222170</v>
      </c>
      <c r="K358" s="3" t="str">
        <f t="shared" si="25"/>
        <v>Maybe</v>
      </c>
      <c r="L358" s="3" t="str">
        <f t="shared" si="22"/>
        <v>Maybe</v>
      </c>
      <c r="M358" s="3"/>
      <c r="N358" s="3" t="str">
        <f t="shared" si="23"/>
        <v>Maybe</v>
      </c>
      <c r="P358" t="b">
        <f t="shared" si="24"/>
        <v>0</v>
      </c>
    </row>
    <row r="359" spans="1:16" x14ac:dyDescent="0.25">
      <c r="A359">
        <v>358</v>
      </c>
      <c r="B359" t="s">
        <v>1124</v>
      </c>
      <c r="C359">
        <v>-2021</v>
      </c>
      <c r="D359" t="s">
        <v>30</v>
      </c>
      <c r="E359" t="s">
        <v>198</v>
      </c>
      <c r="F359" t="s">
        <v>37</v>
      </c>
      <c r="G359">
        <v>8</v>
      </c>
      <c r="H359">
        <v>74</v>
      </c>
      <c r="I359" t="s">
        <v>390</v>
      </c>
      <c r="J359" s="3">
        <v>584522</v>
      </c>
      <c r="K359" s="3" t="str">
        <f t="shared" si="25"/>
        <v>Maybe</v>
      </c>
      <c r="L359" s="3" t="str">
        <f t="shared" si="22"/>
        <v>Maybe</v>
      </c>
      <c r="M359" s="3"/>
      <c r="N359" s="3" t="str">
        <f t="shared" si="23"/>
        <v>Maybe</v>
      </c>
      <c r="O359" t="s">
        <v>1125</v>
      </c>
      <c r="P359" t="b">
        <f t="shared" si="24"/>
        <v>0</v>
      </c>
    </row>
    <row r="360" spans="1:16" x14ac:dyDescent="0.25">
      <c r="A360">
        <v>359</v>
      </c>
      <c r="B360" t="s">
        <v>1126</v>
      </c>
      <c r="C360">
        <v>-2008</v>
      </c>
      <c r="D360" t="s">
        <v>30</v>
      </c>
      <c r="E360" t="s">
        <v>108</v>
      </c>
      <c r="F360" t="s">
        <v>172</v>
      </c>
      <c r="G360">
        <v>8</v>
      </c>
      <c r="H360">
        <v>68</v>
      </c>
      <c r="I360" t="s">
        <v>1127</v>
      </c>
      <c r="J360" s="3">
        <v>51855</v>
      </c>
      <c r="K360" s="3" t="str">
        <f t="shared" si="25"/>
        <v>Maybe</v>
      </c>
      <c r="L360" s="3" t="str">
        <f t="shared" si="22"/>
        <v>Maybe</v>
      </c>
      <c r="M360" s="3"/>
      <c r="N360" s="3" t="str">
        <f t="shared" si="23"/>
        <v>Maybe</v>
      </c>
      <c r="O360" t="s">
        <v>1128</v>
      </c>
      <c r="P360" t="b">
        <f t="shared" si="24"/>
        <v>0</v>
      </c>
    </row>
    <row r="361" spans="1:16" x14ac:dyDescent="0.25">
      <c r="A361">
        <v>360</v>
      </c>
      <c r="B361" t="s">
        <v>1129</v>
      </c>
      <c r="C361">
        <v>-2021</v>
      </c>
      <c r="D361" t="s">
        <v>30</v>
      </c>
      <c r="E361" t="s">
        <v>610</v>
      </c>
      <c r="F361" t="s">
        <v>1066</v>
      </c>
      <c r="G361">
        <v>8</v>
      </c>
      <c r="H361">
        <v>74</v>
      </c>
      <c r="I361" t="s">
        <v>1130</v>
      </c>
      <c r="J361" s="3">
        <v>114940</v>
      </c>
      <c r="K361" s="3" t="str">
        <f t="shared" si="25"/>
        <v>Maybe</v>
      </c>
      <c r="L361" s="3" t="str">
        <f t="shared" si="22"/>
        <v>Maybe</v>
      </c>
      <c r="M361" s="3"/>
      <c r="N361" s="3" t="str">
        <f t="shared" si="23"/>
        <v>Maybe</v>
      </c>
      <c r="P361" t="b">
        <f t="shared" si="24"/>
        <v>0</v>
      </c>
    </row>
    <row r="362" spans="1:16" x14ac:dyDescent="0.25">
      <c r="A362">
        <v>361</v>
      </c>
      <c r="B362" t="s">
        <v>1131</v>
      </c>
      <c r="C362">
        <v>-2008</v>
      </c>
      <c r="D362">
        <v>15</v>
      </c>
      <c r="E362" t="s">
        <v>811</v>
      </c>
      <c r="F362" t="s">
        <v>1132</v>
      </c>
      <c r="G362">
        <v>8</v>
      </c>
      <c r="H362">
        <v>84</v>
      </c>
      <c r="I362" t="s">
        <v>896</v>
      </c>
      <c r="J362" s="3">
        <v>836053</v>
      </c>
      <c r="K362" s="3" t="str">
        <f t="shared" si="25"/>
        <v>Maybe</v>
      </c>
      <c r="L362" s="3" t="str">
        <f t="shared" si="22"/>
        <v>Maybe</v>
      </c>
      <c r="M362" s="3"/>
      <c r="N362" s="3" t="str">
        <f t="shared" si="23"/>
        <v>Maybe</v>
      </c>
      <c r="O362" t="s">
        <v>1133</v>
      </c>
      <c r="P362" t="b">
        <f t="shared" si="24"/>
        <v>0</v>
      </c>
    </row>
    <row r="363" spans="1:16" x14ac:dyDescent="0.25">
      <c r="A363">
        <v>362</v>
      </c>
      <c r="B363" t="s">
        <v>1134</v>
      </c>
      <c r="C363">
        <v>-2010</v>
      </c>
      <c r="D363">
        <v>15</v>
      </c>
      <c r="E363" t="s">
        <v>409</v>
      </c>
      <c r="F363" t="s">
        <v>756</v>
      </c>
      <c r="G363">
        <v>8</v>
      </c>
      <c r="H363">
        <v>79</v>
      </c>
      <c r="I363" t="s">
        <v>423</v>
      </c>
      <c r="J363" s="3">
        <v>750301</v>
      </c>
      <c r="K363" s="3" t="str">
        <f t="shared" si="25"/>
        <v>Maybe</v>
      </c>
      <c r="L363" s="3" t="str">
        <f t="shared" si="22"/>
        <v>Maybe</v>
      </c>
      <c r="M363" s="3"/>
      <c r="N363" s="3" t="str">
        <f t="shared" si="23"/>
        <v>Maybe</v>
      </c>
      <c r="O363" t="s">
        <v>1135</v>
      </c>
      <c r="P363" t="b">
        <f t="shared" si="24"/>
        <v>0</v>
      </c>
    </row>
    <row r="364" spans="1:16" x14ac:dyDescent="0.25">
      <c r="A364">
        <v>363</v>
      </c>
      <c r="B364" t="s">
        <v>1136</v>
      </c>
      <c r="C364">
        <v>-2007</v>
      </c>
      <c r="D364">
        <v>18</v>
      </c>
      <c r="E364" t="s">
        <v>342</v>
      </c>
      <c r="F364" t="s">
        <v>32</v>
      </c>
      <c r="G364">
        <v>8</v>
      </c>
      <c r="H364">
        <v>33</v>
      </c>
      <c r="I364" t="s">
        <v>1112</v>
      </c>
      <c r="J364" s="3">
        <v>103285</v>
      </c>
      <c r="K364" s="3" t="str">
        <f t="shared" si="25"/>
        <v>Maybe</v>
      </c>
      <c r="L364" s="3" t="str">
        <f t="shared" si="22"/>
        <v>Maybe</v>
      </c>
      <c r="M364" s="3"/>
      <c r="N364" s="3" t="str">
        <f t="shared" si="23"/>
        <v>Maybe</v>
      </c>
      <c r="O364" t="s">
        <v>684</v>
      </c>
      <c r="P364" t="b">
        <f t="shared" si="24"/>
        <v>0</v>
      </c>
    </row>
    <row r="365" spans="1:16" x14ac:dyDescent="0.25">
      <c r="A365">
        <v>364</v>
      </c>
      <c r="B365" t="s">
        <v>1137</v>
      </c>
      <c r="C365">
        <v>-2012</v>
      </c>
      <c r="D365" t="s">
        <v>30</v>
      </c>
      <c r="E365" t="s">
        <v>354</v>
      </c>
      <c r="F365" t="s">
        <v>64</v>
      </c>
      <c r="G365">
        <v>8</v>
      </c>
      <c r="H365">
        <v>69</v>
      </c>
      <c r="I365" t="s">
        <v>1138</v>
      </c>
      <c r="J365" s="3">
        <v>1361937</v>
      </c>
      <c r="K365" s="3" t="str">
        <f t="shared" si="25"/>
        <v>Maybe</v>
      </c>
      <c r="L365" s="3" t="str">
        <f t="shared" si="22"/>
        <v>Maybe</v>
      </c>
      <c r="M365" s="3"/>
      <c r="N365" s="3" t="str">
        <f t="shared" si="23"/>
        <v>Maybe</v>
      </c>
      <c r="O365" t="s">
        <v>1139</v>
      </c>
      <c r="P365" t="b">
        <f t="shared" si="24"/>
        <v>0</v>
      </c>
    </row>
    <row r="366" spans="1:16" x14ac:dyDescent="0.25">
      <c r="A366">
        <v>365</v>
      </c>
      <c r="B366" t="s">
        <v>1140</v>
      </c>
      <c r="C366">
        <v>-2007</v>
      </c>
      <c r="D366" t="s">
        <v>30</v>
      </c>
      <c r="E366" t="s">
        <v>50</v>
      </c>
      <c r="F366" t="s">
        <v>1141</v>
      </c>
      <c r="G366">
        <v>8</v>
      </c>
      <c r="H366">
        <v>90</v>
      </c>
      <c r="I366" t="s">
        <v>1142</v>
      </c>
      <c r="J366" s="3">
        <v>94074</v>
      </c>
      <c r="K366" s="3" t="str">
        <f t="shared" si="25"/>
        <v>Maybe</v>
      </c>
      <c r="L366" s="3" t="str">
        <f t="shared" si="22"/>
        <v>Maybe</v>
      </c>
      <c r="M366" s="3"/>
      <c r="N366" s="3" t="str">
        <f t="shared" si="23"/>
        <v>Maybe</v>
      </c>
      <c r="O366" t="s">
        <v>1143</v>
      </c>
      <c r="P366" t="b">
        <f t="shared" si="24"/>
        <v>0</v>
      </c>
    </row>
    <row r="367" spans="1:16" x14ac:dyDescent="0.25">
      <c r="A367">
        <v>366</v>
      </c>
      <c r="B367" t="s">
        <v>1144</v>
      </c>
      <c r="C367">
        <v>-2006</v>
      </c>
      <c r="D367" t="s">
        <v>74</v>
      </c>
      <c r="E367" t="s">
        <v>1072</v>
      </c>
      <c r="F367" t="s">
        <v>132</v>
      </c>
      <c r="G367">
        <v>8</v>
      </c>
      <c r="I367" t="s">
        <v>305</v>
      </c>
      <c r="J367" s="3">
        <v>46666</v>
      </c>
      <c r="K367" s="3" t="str">
        <f t="shared" si="25"/>
        <v>Maybe</v>
      </c>
      <c r="L367" s="3" t="str">
        <f t="shared" si="22"/>
        <v>Maybe</v>
      </c>
      <c r="M367" s="3"/>
      <c r="N367" s="3" t="str">
        <f t="shared" si="23"/>
        <v>Maybe</v>
      </c>
      <c r="O367" t="s">
        <v>1145</v>
      </c>
      <c r="P367" t="b">
        <f t="shared" si="24"/>
        <v>0</v>
      </c>
    </row>
    <row r="368" spans="1:16" x14ac:dyDescent="0.25">
      <c r="A368">
        <v>367</v>
      </c>
      <c r="B368" t="s">
        <v>1146</v>
      </c>
      <c r="C368">
        <v>-2006</v>
      </c>
      <c r="D368" t="s">
        <v>30</v>
      </c>
      <c r="E368" t="s">
        <v>232</v>
      </c>
      <c r="F368" t="s">
        <v>606</v>
      </c>
      <c r="G368">
        <v>8</v>
      </c>
      <c r="H368">
        <v>64</v>
      </c>
      <c r="I368" t="s">
        <v>1147</v>
      </c>
      <c r="J368" s="3">
        <v>498939</v>
      </c>
      <c r="K368" s="3" t="str">
        <f t="shared" si="25"/>
        <v>Maybe</v>
      </c>
      <c r="L368" s="3" t="str">
        <f t="shared" si="22"/>
        <v>Maybe</v>
      </c>
      <c r="M368" s="3"/>
      <c r="N368" s="3" t="str">
        <f t="shared" si="23"/>
        <v>Maybe</v>
      </c>
      <c r="O368" t="s">
        <v>1148</v>
      </c>
      <c r="P368" t="b">
        <f t="shared" si="24"/>
        <v>0</v>
      </c>
    </row>
    <row r="369" spans="1:16" x14ac:dyDescent="0.25">
      <c r="A369">
        <v>368</v>
      </c>
      <c r="B369" t="s">
        <v>1149</v>
      </c>
      <c r="C369">
        <v>-2006</v>
      </c>
      <c r="D369">
        <v>15</v>
      </c>
      <c r="E369" t="s">
        <v>354</v>
      </c>
      <c r="F369" t="s">
        <v>688</v>
      </c>
      <c r="G369">
        <v>8</v>
      </c>
      <c r="H369">
        <v>64</v>
      </c>
      <c r="I369" t="s">
        <v>1150</v>
      </c>
      <c r="J369" s="3">
        <v>539808</v>
      </c>
      <c r="K369" s="3" t="str">
        <f t="shared" si="25"/>
        <v>Maybe</v>
      </c>
      <c r="L369" s="3" t="str">
        <f t="shared" si="22"/>
        <v>Maybe</v>
      </c>
      <c r="M369" s="3"/>
      <c r="N369" s="3" t="str">
        <f t="shared" si="23"/>
        <v>Maybe</v>
      </c>
      <c r="O369" t="s">
        <v>1151</v>
      </c>
      <c r="P369" t="b">
        <f t="shared" si="24"/>
        <v>0</v>
      </c>
    </row>
    <row r="370" spans="1:16" x14ac:dyDescent="0.25">
      <c r="A370">
        <v>369</v>
      </c>
      <c r="B370" t="s">
        <v>1152</v>
      </c>
      <c r="C370">
        <v>-2007</v>
      </c>
      <c r="D370" t="s">
        <v>30</v>
      </c>
      <c r="E370" t="s">
        <v>342</v>
      </c>
      <c r="F370" t="s">
        <v>1153</v>
      </c>
      <c r="G370">
        <v>8</v>
      </c>
      <c r="H370">
        <v>85</v>
      </c>
      <c r="I370" t="s">
        <v>1154</v>
      </c>
      <c r="J370" s="3">
        <v>629222</v>
      </c>
      <c r="K370" s="3" t="str">
        <f t="shared" si="25"/>
        <v>Maybe</v>
      </c>
      <c r="L370" s="3" t="str">
        <f t="shared" si="22"/>
        <v>Maybe</v>
      </c>
      <c r="M370" s="3"/>
      <c r="N370" s="3" t="str">
        <f t="shared" si="23"/>
        <v>Maybe</v>
      </c>
      <c r="O370" t="s">
        <v>1155</v>
      </c>
      <c r="P370" t="b">
        <f t="shared" si="24"/>
        <v>0</v>
      </c>
    </row>
    <row r="371" spans="1:16" x14ac:dyDescent="0.25">
      <c r="A371">
        <v>370</v>
      </c>
      <c r="B371" t="s">
        <v>1156</v>
      </c>
      <c r="C371">
        <v>-2004</v>
      </c>
      <c r="D371" t="s">
        <v>30</v>
      </c>
      <c r="E371" t="s">
        <v>163</v>
      </c>
      <c r="F371" t="s">
        <v>20</v>
      </c>
      <c r="G371">
        <v>8</v>
      </c>
      <c r="H371">
        <v>88</v>
      </c>
      <c r="I371" t="s">
        <v>1157</v>
      </c>
      <c r="J371" s="3">
        <v>27732</v>
      </c>
      <c r="K371" s="3" t="str">
        <f t="shared" si="25"/>
        <v>Maybe</v>
      </c>
      <c r="L371" s="3" t="str">
        <f t="shared" si="22"/>
        <v>Maybe</v>
      </c>
      <c r="M371" s="3"/>
      <c r="N371" s="3" t="str">
        <f t="shared" si="23"/>
        <v>Maybe</v>
      </c>
      <c r="O371" t="s">
        <v>1158</v>
      </c>
      <c r="P371" t="b">
        <f t="shared" si="24"/>
        <v>0</v>
      </c>
    </row>
    <row r="372" spans="1:16" x14ac:dyDescent="0.25">
      <c r="A372">
        <v>371</v>
      </c>
      <c r="B372" t="s">
        <v>1159</v>
      </c>
      <c r="C372">
        <v>-2005</v>
      </c>
      <c r="D372">
        <v>18</v>
      </c>
      <c r="E372" t="s">
        <v>99</v>
      </c>
      <c r="F372" t="s">
        <v>683</v>
      </c>
      <c r="G372">
        <v>8</v>
      </c>
      <c r="H372">
        <v>74</v>
      </c>
      <c r="I372" t="s">
        <v>1160</v>
      </c>
      <c r="J372" s="3">
        <v>762072</v>
      </c>
      <c r="K372" s="3" t="str">
        <f t="shared" si="25"/>
        <v>Maybe</v>
      </c>
      <c r="L372" s="3" t="str">
        <f t="shared" si="22"/>
        <v>Maybe</v>
      </c>
      <c r="M372" s="3"/>
      <c r="N372" s="3" t="str">
        <f t="shared" si="23"/>
        <v>Maybe</v>
      </c>
      <c r="O372" t="s">
        <v>1161</v>
      </c>
      <c r="P372" t="b">
        <f t="shared" si="24"/>
        <v>0</v>
      </c>
    </row>
    <row r="373" spans="1:16" x14ac:dyDescent="0.25">
      <c r="A373">
        <v>372</v>
      </c>
      <c r="B373" t="s">
        <v>1162</v>
      </c>
      <c r="C373">
        <v>-2007</v>
      </c>
      <c r="D373">
        <v>12</v>
      </c>
      <c r="E373" t="s">
        <v>176</v>
      </c>
      <c r="F373" t="s">
        <v>606</v>
      </c>
      <c r="G373">
        <v>8</v>
      </c>
      <c r="H373">
        <v>92</v>
      </c>
      <c r="I373" t="s">
        <v>1163</v>
      </c>
      <c r="J373" s="3">
        <v>107326</v>
      </c>
      <c r="K373" s="3" t="str">
        <f t="shared" si="25"/>
        <v>Maybe</v>
      </c>
      <c r="L373" s="3" t="str">
        <f t="shared" si="22"/>
        <v>Maybe</v>
      </c>
      <c r="M373" s="3"/>
      <c r="N373" s="3" t="str">
        <f t="shared" si="23"/>
        <v>Maybe</v>
      </c>
      <c r="O373" t="s">
        <v>1164</v>
      </c>
      <c r="P373" t="b">
        <f t="shared" si="24"/>
        <v>0</v>
      </c>
    </row>
    <row r="374" spans="1:16" x14ac:dyDescent="0.25">
      <c r="A374">
        <v>373</v>
      </c>
      <c r="B374" t="s">
        <v>1165</v>
      </c>
      <c r="C374">
        <v>-2004</v>
      </c>
      <c r="D374" t="s">
        <v>1166</v>
      </c>
      <c r="E374" t="s">
        <v>561</v>
      </c>
      <c r="F374" t="s">
        <v>512</v>
      </c>
      <c r="G374">
        <v>8</v>
      </c>
      <c r="H374">
        <v>64</v>
      </c>
      <c r="I374" t="s">
        <v>1167</v>
      </c>
      <c r="J374" s="3">
        <v>39608</v>
      </c>
      <c r="K374" s="3" t="str">
        <f t="shared" si="25"/>
        <v>Maybe</v>
      </c>
      <c r="L374" s="3" t="str">
        <f t="shared" si="22"/>
        <v>Maybe</v>
      </c>
      <c r="M374" s="3"/>
      <c r="N374" s="3" t="str">
        <f t="shared" si="23"/>
        <v>Maybe</v>
      </c>
      <c r="O374" t="s">
        <v>835</v>
      </c>
      <c r="P374" t="b">
        <f t="shared" si="24"/>
        <v>0</v>
      </c>
    </row>
    <row r="375" spans="1:16" x14ac:dyDescent="0.25">
      <c r="A375">
        <v>374</v>
      </c>
      <c r="B375" t="s">
        <v>1168</v>
      </c>
      <c r="C375">
        <v>-2004</v>
      </c>
      <c r="D375">
        <v>15</v>
      </c>
      <c r="E375" t="s">
        <v>136</v>
      </c>
      <c r="F375" t="s">
        <v>225</v>
      </c>
      <c r="G375">
        <v>8</v>
      </c>
      <c r="I375" t="s">
        <v>1169</v>
      </c>
      <c r="J375" s="3">
        <v>62311</v>
      </c>
      <c r="K375" s="3" t="str">
        <f t="shared" si="25"/>
        <v>Maybe</v>
      </c>
      <c r="L375" s="3" t="str">
        <f t="shared" si="22"/>
        <v>Maybe</v>
      </c>
      <c r="M375" s="3"/>
      <c r="N375" s="3" t="str">
        <f t="shared" si="23"/>
        <v>Maybe</v>
      </c>
      <c r="P375" t="b">
        <f t="shared" si="24"/>
        <v>0</v>
      </c>
    </row>
    <row r="376" spans="1:16" x14ac:dyDescent="0.25">
      <c r="A376">
        <v>375</v>
      </c>
      <c r="B376" t="s">
        <v>1170</v>
      </c>
      <c r="C376">
        <v>-2006</v>
      </c>
      <c r="D376" t="s">
        <v>30</v>
      </c>
      <c r="E376" t="s">
        <v>1072</v>
      </c>
      <c r="F376" t="s">
        <v>1171</v>
      </c>
      <c r="G376">
        <v>8</v>
      </c>
      <c r="H376">
        <v>80</v>
      </c>
      <c r="I376" t="s">
        <v>1172</v>
      </c>
      <c r="J376" s="3">
        <v>647938</v>
      </c>
      <c r="K376" s="3" t="str">
        <f t="shared" si="25"/>
        <v>Maybe</v>
      </c>
      <c r="L376" s="3" t="str">
        <f t="shared" si="22"/>
        <v>Maybe</v>
      </c>
      <c r="M376" s="3"/>
      <c r="N376" s="3" t="str">
        <f t="shared" si="23"/>
        <v>Maybe</v>
      </c>
      <c r="O376" t="s">
        <v>1173</v>
      </c>
      <c r="P376" t="b">
        <f t="shared" si="24"/>
        <v>0</v>
      </c>
    </row>
    <row r="377" spans="1:16" x14ac:dyDescent="0.25">
      <c r="A377">
        <v>376</v>
      </c>
      <c r="B377" t="s">
        <v>1174</v>
      </c>
      <c r="C377">
        <v>-2004</v>
      </c>
      <c r="D377">
        <v>18</v>
      </c>
      <c r="E377" t="s">
        <v>139</v>
      </c>
      <c r="F377" t="s">
        <v>1175</v>
      </c>
      <c r="G377">
        <v>8</v>
      </c>
      <c r="H377">
        <v>83</v>
      </c>
      <c r="I377" t="s">
        <v>60</v>
      </c>
      <c r="J377" s="3">
        <v>740845</v>
      </c>
      <c r="K377" s="3" t="str">
        <f t="shared" si="25"/>
        <v>Maybe</v>
      </c>
      <c r="L377" s="3" t="str">
        <f t="shared" si="22"/>
        <v>Maybe</v>
      </c>
      <c r="M377" s="3"/>
      <c r="N377" s="3" t="str">
        <f t="shared" si="23"/>
        <v>Maybe</v>
      </c>
      <c r="O377" t="s">
        <v>1176</v>
      </c>
      <c r="P377" t="b">
        <f t="shared" si="24"/>
        <v>0</v>
      </c>
    </row>
    <row r="378" spans="1:16" x14ac:dyDescent="0.25">
      <c r="A378">
        <v>377</v>
      </c>
      <c r="B378" t="s">
        <v>1177</v>
      </c>
      <c r="C378">
        <v>-2003</v>
      </c>
      <c r="D378">
        <v>15</v>
      </c>
      <c r="E378" t="s">
        <v>403</v>
      </c>
      <c r="F378" t="s">
        <v>78</v>
      </c>
      <c r="G378">
        <v>8</v>
      </c>
      <c r="H378">
        <v>85</v>
      </c>
      <c r="I378" t="s">
        <v>1178</v>
      </c>
      <c r="J378" s="3">
        <v>82411</v>
      </c>
      <c r="K378" s="3" t="str">
        <f t="shared" si="25"/>
        <v>Maybe</v>
      </c>
      <c r="L378" s="3" t="str">
        <f t="shared" si="22"/>
        <v>Maybe</v>
      </c>
      <c r="M378" s="3"/>
      <c r="N378" s="3" t="str">
        <f t="shared" si="23"/>
        <v>Maybe</v>
      </c>
      <c r="O378" t="s">
        <v>333</v>
      </c>
      <c r="P378" t="b">
        <f t="shared" si="24"/>
        <v>0</v>
      </c>
    </row>
    <row r="379" spans="1:16" x14ac:dyDescent="0.25">
      <c r="A379">
        <v>378</v>
      </c>
      <c r="B379" t="s">
        <v>1179</v>
      </c>
      <c r="C379" t="s">
        <v>1180</v>
      </c>
      <c r="D379" t="s">
        <v>74</v>
      </c>
      <c r="E379" t="s">
        <v>263</v>
      </c>
      <c r="F379" t="s">
        <v>606</v>
      </c>
      <c r="G379">
        <v>8</v>
      </c>
      <c r="H379">
        <v>74</v>
      </c>
      <c r="I379" t="s">
        <v>1181</v>
      </c>
      <c r="J379" s="3">
        <v>81402</v>
      </c>
      <c r="K379" s="3" t="str">
        <f t="shared" si="25"/>
        <v>Maybe</v>
      </c>
      <c r="L379" s="3" t="str">
        <f t="shared" si="22"/>
        <v>Maybe</v>
      </c>
      <c r="M379" s="3"/>
      <c r="N379" s="3" t="str">
        <f t="shared" si="23"/>
        <v>Maybe</v>
      </c>
      <c r="O379" t="s">
        <v>1182</v>
      </c>
      <c r="P379" t="b">
        <f t="shared" si="24"/>
        <v>0</v>
      </c>
    </row>
    <row r="380" spans="1:16" x14ac:dyDescent="0.25">
      <c r="A380">
        <v>379</v>
      </c>
      <c r="B380" t="s">
        <v>1183</v>
      </c>
      <c r="C380">
        <v>-2005</v>
      </c>
      <c r="D380" t="s">
        <v>30</v>
      </c>
      <c r="E380" t="s">
        <v>1072</v>
      </c>
      <c r="F380" t="s">
        <v>1184</v>
      </c>
      <c r="G380">
        <v>8</v>
      </c>
      <c r="H380">
        <v>69</v>
      </c>
      <c r="I380" t="s">
        <v>607</v>
      </c>
      <c r="J380" s="3">
        <v>186224</v>
      </c>
      <c r="K380" s="3" t="str">
        <f t="shared" si="25"/>
        <v>Maybe</v>
      </c>
      <c r="L380" s="3" t="str">
        <f t="shared" si="22"/>
        <v>Maybe</v>
      </c>
      <c r="M380" s="3"/>
      <c r="N380" s="3" t="str">
        <f t="shared" si="23"/>
        <v>Maybe</v>
      </c>
      <c r="O380" t="s">
        <v>1185</v>
      </c>
      <c r="P380" t="b">
        <f t="shared" si="24"/>
        <v>0</v>
      </c>
    </row>
    <row r="381" spans="1:16" x14ac:dyDescent="0.25">
      <c r="A381">
        <v>380</v>
      </c>
      <c r="B381" t="s">
        <v>1186</v>
      </c>
      <c r="C381">
        <v>-2002</v>
      </c>
      <c r="D381">
        <v>15</v>
      </c>
      <c r="E381" t="s">
        <v>321</v>
      </c>
      <c r="F381" t="s">
        <v>32</v>
      </c>
      <c r="G381">
        <v>8</v>
      </c>
      <c r="H381">
        <v>75</v>
      </c>
      <c r="I381" t="s">
        <v>1187</v>
      </c>
      <c r="J381" s="3">
        <v>123919</v>
      </c>
      <c r="K381" s="3" t="str">
        <f t="shared" si="25"/>
        <v>Maybe</v>
      </c>
      <c r="L381" s="3" t="str">
        <f t="shared" si="22"/>
        <v>Maybe</v>
      </c>
      <c r="M381" s="3"/>
      <c r="N381" s="3" t="str">
        <f t="shared" si="23"/>
        <v>Maybe</v>
      </c>
      <c r="O381" t="s">
        <v>904</v>
      </c>
      <c r="P381" t="b">
        <f t="shared" si="24"/>
        <v>0</v>
      </c>
    </row>
    <row r="382" spans="1:16" x14ac:dyDescent="0.25">
      <c r="A382">
        <v>381</v>
      </c>
      <c r="B382" t="s">
        <v>1188</v>
      </c>
      <c r="C382">
        <v>-2003</v>
      </c>
      <c r="D382" t="s">
        <v>74</v>
      </c>
      <c r="E382" t="s">
        <v>119</v>
      </c>
      <c r="F382" t="s">
        <v>1189</v>
      </c>
      <c r="G382">
        <v>8</v>
      </c>
      <c r="H382">
        <v>58</v>
      </c>
      <c r="I382" t="s">
        <v>1190</v>
      </c>
      <c r="J382" s="3">
        <v>437219</v>
      </c>
      <c r="K382" s="3" t="str">
        <f t="shared" si="25"/>
        <v>Maybe</v>
      </c>
      <c r="L382" s="3" t="str">
        <f t="shared" si="22"/>
        <v>Maybe</v>
      </c>
      <c r="M382" s="3"/>
      <c r="N382" s="3" t="str">
        <f t="shared" si="23"/>
        <v>Maybe</v>
      </c>
      <c r="O382" t="s">
        <v>1191</v>
      </c>
      <c r="P382" t="b">
        <f t="shared" si="24"/>
        <v>0</v>
      </c>
    </row>
    <row r="383" spans="1:16" x14ac:dyDescent="0.25">
      <c r="A383">
        <v>382</v>
      </c>
      <c r="B383" t="s">
        <v>1192</v>
      </c>
      <c r="C383">
        <v>-2004</v>
      </c>
      <c r="D383" t="s">
        <v>49</v>
      </c>
      <c r="E383" t="s">
        <v>342</v>
      </c>
      <c r="F383" t="s">
        <v>279</v>
      </c>
      <c r="G383">
        <v>8</v>
      </c>
      <c r="H383">
        <v>90</v>
      </c>
      <c r="I383" t="s">
        <v>848</v>
      </c>
      <c r="J383" s="3">
        <v>716550</v>
      </c>
      <c r="K383" s="3" t="str">
        <f t="shared" si="25"/>
        <v>Maybe</v>
      </c>
      <c r="L383" s="3" t="str">
        <f t="shared" si="22"/>
        <v>Maybe</v>
      </c>
      <c r="M383" s="3"/>
      <c r="N383" s="3" t="str">
        <f t="shared" si="23"/>
        <v>Maybe</v>
      </c>
      <c r="O383" t="s">
        <v>1193</v>
      </c>
      <c r="P383" t="b">
        <f t="shared" si="24"/>
        <v>0</v>
      </c>
    </row>
    <row r="384" spans="1:16" x14ac:dyDescent="0.25">
      <c r="A384">
        <v>383</v>
      </c>
      <c r="B384" t="s">
        <v>1194</v>
      </c>
      <c r="C384">
        <v>-2001</v>
      </c>
      <c r="E384" t="s">
        <v>139</v>
      </c>
      <c r="F384" t="s">
        <v>132</v>
      </c>
      <c r="G384">
        <v>8</v>
      </c>
      <c r="I384" t="s">
        <v>1195</v>
      </c>
      <c r="J384" s="3">
        <v>47937</v>
      </c>
      <c r="K384" s="3" t="str">
        <f t="shared" si="25"/>
        <v>Maybe</v>
      </c>
      <c r="L384" s="3" t="str">
        <f t="shared" si="22"/>
        <v>Maybe</v>
      </c>
      <c r="M384" s="3"/>
      <c r="N384" s="3" t="str">
        <f t="shared" si="23"/>
        <v>Maybe</v>
      </c>
      <c r="P384" t="b">
        <f t="shared" si="24"/>
        <v>0</v>
      </c>
    </row>
    <row r="385" spans="1:16" x14ac:dyDescent="0.25">
      <c r="A385">
        <v>384</v>
      </c>
      <c r="B385" t="s">
        <v>1196</v>
      </c>
      <c r="C385">
        <v>-2003</v>
      </c>
      <c r="D385">
        <v>15</v>
      </c>
      <c r="E385" t="s">
        <v>75</v>
      </c>
      <c r="F385" t="s">
        <v>26</v>
      </c>
      <c r="G385">
        <v>8</v>
      </c>
      <c r="H385">
        <v>60</v>
      </c>
      <c r="I385" t="s">
        <v>1197</v>
      </c>
      <c r="J385" s="3">
        <v>147584</v>
      </c>
      <c r="K385" s="3" t="str">
        <f t="shared" si="25"/>
        <v>Maybe</v>
      </c>
      <c r="L385" s="3" t="str">
        <f t="shared" si="22"/>
        <v>Maybe</v>
      </c>
      <c r="M385" s="3"/>
      <c r="N385" s="3" t="str">
        <f t="shared" si="23"/>
        <v>Maybe</v>
      </c>
      <c r="O385" t="s">
        <v>1000</v>
      </c>
      <c r="P385" t="b">
        <f t="shared" si="24"/>
        <v>0</v>
      </c>
    </row>
    <row r="386" spans="1:16" x14ac:dyDescent="0.25">
      <c r="A386">
        <v>385</v>
      </c>
      <c r="B386" t="s">
        <v>1198</v>
      </c>
      <c r="C386">
        <v>-2001</v>
      </c>
      <c r="D386">
        <v>15</v>
      </c>
      <c r="E386" t="s">
        <v>209</v>
      </c>
      <c r="F386" t="s">
        <v>304</v>
      </c>
      <c r="G386">
        <v>8</v>
      </c>
      <c r="I386" t="s">
        <v>1199</v>
      </c>
      <c r="J386" s="3">
        <v>36506</v>
      </c>
      <c r="K386" s="3" t="str">
        <f t="shared" si="25"/>
        <v>Maybe</v>
      </c>
      <c r="L386" s="3" t="str">
        <f t="shared" si="22"/>
        <v>Maybe</v>
      </c>
      <c r="M386" s="3"/>
      <c r="N386" s="3" t="str">
        <f t="shared" si="23"/>
        <v>Maybe</v>
      </c>
      <c r="P386" t="b">
        <f t="shared" si="24"/>
        <v>0</v>
      </c>
    </row>
    <row r="387" spans="1:16" x14ac:dyDescent="0.25">
      <c r="A387">
        <v>386</v>
      </c>
      <c r="B387" t="s">
        <v>1200</v>
      </c>
      <c r="C387">
        <v>-2001</v>
      </c>
      <c r="D387">
        <v>15</v>
      </c>
      <c r="E387" t="s">
        <v>325</v>
      </c>
      <c r="F387" t="s">
        <v>187</v>
      </c>
      <c r="G387">
        <v>8</v>
      </c>
      <c r="H387">
        <v>88</v>
      </c>
      <c r="I387" t="s">
        <v>1201</v>
      </c>
      <c r="J387" s="3">
        <v>787427</v>
      </c>
      <c r="K387" s="3" t="str">
        <f t="shared" si="25"/>
        <v>Maybe</v>
      </c>
      <c r="L387" s="3" t="str">
        <f t="shared" ref="L387:L450" si="26">IF(G387=9,"Must Watch",IF(G387=8,"Maybe","Don't Watch"))</f>
        <v>Maybe</v>
      </c>
      <c r="M387" s="3"/>
      <c r="N387" s="3" t="str">
        <f t="shared" ref="N387:N450" si="27">IF(I387="Billy Wilder", "Must Watch", IF(I387="John Ford", "Watch", "Maybe"))</f>
        <v>Maybe</v>
      </c>
      <c r="O387" t="s">
        <v>1202</v>
      </c>
      <c r="P387" t="b">
        <f t="shared" ref="P387:P450" si="28">ISNUMBER(B:B)</f>
        <v>0</v>
      </c>
    </row>
    <row r="388" spans="1:16" x14ac:dyDescent="0.25">
      <c r="A388">
        <v>387</v>
      </c>
      <c r="B388" t="s">
        <v>1203</v>
      </c>
      <c r="C388">
        <v>-1999</v>
      </c>
      <c r="D388">
        <v>18</v>
      </c>
      <c r="E388" t="s">
        <v>951</v>
      </c>
      <c r="F388" t="s">
        <v>20</v>
      </c>
      <c r="G388">
        <v>8</v>
      </c>
      <c r="H388">
        <v>77</v>
      </c>
      <c r="I388" t="s">
        <v>588</v>
      </c>
      <c r="J388" s="3">
        <v>309294</v>
      </c>
      <c r="K388" s="3" t="str">
        <f t="shared" si="25"/>
        <v>Maybe</v>
      </c>
      <c r="L388" s="3" t="str">
        <f t="shared" si="26"/>
        <v>Maybe</v>
      </c>
      <c r="M388" s="3"/>
      <c r="N388" s="3" t="str">
        <f t="shared" si="27"/>
        <v>Maybe</v>
      </c>
      <c r="O388" t="s">
        <v>1204</v>
      </c>
      <c r="P388" t="b">
        <f t="shared" si="28"/>
        <v>0</v>
      </c>
    </row>
    <row r="389" spans="1:16" x14ac:dyDescent="0.25">
      <c r="A389">
        <v>388</v>
      </c>
      <c r="B389" t="s">
        <v>1205</v>
      </c>
      <c r="C389">
        <v>-1997</v>
      </c>
      <c r="D389">
        <v>15</v>
      </c>
      <c r="E389" t="s">
        <v>254</v>
      </c>
      <c r="F389" t="s">
        <v>1206</v>
      </c>
      <c r="G389">
        <v>8</v>
      </c>
      <c r="I389" t="s">
        <v>1207</v>
      </c>
      <c r="J389" s="3">
        <v>52818</v>
      </c>
      <c r="K389" s="3" t="str">
        <f t="shared" si="25"/>
        <v>Maybe</v>
      </c>
      <c r="L389" s="3" t="str">
        <f t="shared" si="26"/>
        <v>Maybe</v>
      </c>
      <c r="M389" s="3"/>
      <c r="N389" s="3" t="str">
        <f t="shared" si="27"/>
        <v>Maybe</v>
      </c>
      <c r="P389" t="b">
        <f t="shared" si="28"/>
        <v>0</v>
      </c>
    </row>
    <row r="390" spans="1:16" x14ac:dyDescent="0.25">
      <c r="A390">
        <v>389</v>
      </c>
      <c r="B390" t="s">
        <v>1208</v>
      </c>
      <c r="C390">
        <v>-1999</v>
      </c>
      <c r="D390" t="s">
        <v>49</v>
      </c>
      <c r="E390" t="s">
        <v>176</v>
      </c>
      <c r="F390" t="s">
        <v>606</v>
      </c>
      <c r="G390">
        <v>8</v>
      </c>
      <c r="H390">
        <v>86</v>
      </c>
      <c r="I390" t="s">
        <v>653</v>
      </c>
      <c r="J390" s="3">
        <v>89747</v>
      </c>
      <c r="K390" s="3" t="str">
        <f t="shared" si="25"/>
        <v>Maybe</v>
      </c>
      <c r="L390" s="3" t="str">
        <f t="shared" si="26"/>
        <v>Maybe</v>
      </c>
      <c r="M390" s="3"/>
      <c r="N390" s="3" t="str">
        <f t="shared" si="27"/>
        <v>Maybe</v>
      </c>
      <c r="O390" t="s">
        <v>1209</v>
      </c>
      <c r="P390" t="b">
        <f t="shared" si="28"/>
        <v>0</v>
      </c>
    </row>
    <row r="391" spans="1:16" x14ac:dyDescent="0.25">
      <c r="A391">
        <v>390</v>
      </c>
      <c r="B391" t="s">
        <v>1210</v>
      </c>
      <c r="C391">
        <v>-1997</v>
      </c>
      <c r="D391">
        <v>18</v>
      </c>
      <c r="E391" t="s">
        <v>429</v>
      </c>
      <c r="F391" t="s">
        <v>1211</v>
      </c>
      <c r="G391">
        <v>8</v>
      </c>
      <c r="I391" t="s">
        <v>1212</v>
      </c>
      <c r="J391" s="3">
        <v>73147</v>
      </c>
      <c r="K391" s="3" t="str">
        <f t="shared" ref="K391:K454" si="29">IF(G391&lt;7.9, "Don't Watch", IF(G391&gt;8, "Must Watch", "Maybe"))</f>
        <v>Maybe</v>
      </c>
      <c r="L391" s="3" t="str">
        <f t="shared" si="26"/>
        <v>Maybe</v>
      </c>
      <c r="M391" s="3"/>
      <c r="N391" s="3" t="str">
        <f t="shared" si="27"/>
        <v>Maybe</v>
      </c>
      <c r="O391" t="s">
        <v>1213</v>
      </c>
      <c r="P391" t="b">
        <f t="shared" si="28"/>
        <v>0</v>
      </c>
    </row>
    <row r="392" spans="1:16" x14ac:dyDescent="0.25">
      <c r="A392">
        <v>391</v>
      </c>
      <c r="B392" t="s">
        <v>1214</v>
      </c>
      <c r="C392">
        <v>-1998</v>
      </c>
      <c r="D392">
        <v>15</v>
      </c>
      <c r="E392" t="s">
        <v>209</v>
      </c>
      <c r="F392" t="s">
        <v>20</v>
      </c>
      <c r="G392">
        <v>8</v>
      </c>
      <c r="H392">
        <v>80</v>
      </c>
      <c r="I392" t="s">
        <v>1215</v>
      </c>
      <c r="J392" s="3">
        <v>39408</v>
      </c>
      <c r="K392" s="3" t="str">
        <f t="shared" si="29"/>
        <v>Maybe</v>
      </c>
      <c r="L392" s="3" t="str">
        <f t="shared" si="26"/>
        <v>Maybe</v>
      </c>
      <c r="M392" s="3"/>
      <c r="N392" s="3" t="str">
        <f t="shared" si="27"/>
        <v>Maybe</v>
      </c>
      <c r="O392" t="s">
        <v>1216</v>
      </c>
      <c r="P392" t="b">
        <f t="shared" si="28"/>
        <v>0</v>
      </c>
    </row>
    <row r="393" spans="1:16" x14ac:dyDescent="0.25">
      <c r="A393">
        <v>392</v>
      </c>
      <c r="B393" t="s">
        <v>1217</v>
      </c>
      <c r="C393">
        <v>-1998</v>
      </c>
      <c r="D393">
        <v>15</v>
      </c>
      <c r="E393" t="s">
        <v>112</v>
      </c>
      <c r="F393" t="s">
        <v>921</v>
      </c>
      <c r="G393">
        <v>8</v>
      </c>
      <c r="H393">
        <v>58</v>
      </c>
      <c r="I393" t="s">
        <v>218</v>
      </c>
      <c r="J393" s="3">
        <v>63768</v>
      </c>
      <c r="K393" s="3" t="str">
        <f t="shared" si="29"/>
        <v>Maybe</v>
      </c>
      <c r="L393" s="3" t="str">
        <f t="shared" si="26"/>
        <v>Maybe</v>
      </c>
      <c r="M393" s="3"/>
      <c r="N393" s="3" t="str">
        <f t="shared" si="27"/>
        <v>Maybe</v>
      </c>
      <c r="O393" t="s">
        <v>1218</v>
      </c>
      <c r="P393" t="b">
        <f t="shared" si="28"/>
        <v>0</v>
      </c>
    </row>
    <row r="394" spans="1:16" x14ac:dyDescent="0.25">
      <c r="A394">
        <v>393</v>
      </c>
      <c r="B394" t="s">
        <v>1219</v>
      </c>
      <c r="C394">
        <v>-1998</v>
      </c>
      <c r="D394">
        <v>15</v>
      </c>
      <c r="E394" t="s">
        <v>136</v>
      </c>
      <c r="F394" t="s">
        <v>1220</v>
      </c>
      <c r="G394">
        <v>8</v>
      </c>
      <c r="H394">
        <v>73</v>
      </c>
      <c r="I394" t="s">
        <v>903</v>
      </c>
      <c r="J394" s="3">
        <v>53519</v>
      </c>
      <c r="K394" s="3" t="str">
        <f t="shared" si="29"/>
        <v>Maybe</v>
      </c>
      <c r="L394" s="3" t="str">
        <f t="shared" si="26"/>
        <v>Maybe</v>
      </c>
      <c r="M394" s="3"/>
      <c r="N394" s="3" t="str">
        <f t="shared" si="27"/>
        <v>Maybe</v>
      </c>
      <c r="O394" t="s">
        <v>1221</v>
      </c>
      <c r="P394" t="b">
        <f t="shared" si="28"/>
        <v>0</v>
      </c>
    </row>
    <row r="395" spans="1:16" x14ac:dyDescent="0.25">
      <c r="A395">
        <v>394</v>
      </c>
      <c r="B395" t="s">
        <v>1222</v>
      </c>
      <c r="C395">
        <v>-2000</v>
      </c>
      <c r="D395" t="s">
        <v>74</v>
      </c>
      <c r="E395" t="s">
        <v>313</v>
      </c>
      <c r="F395" t="s">
        <v>78</v>
      </c>
      <c r="G395">
        <v>8</v>
      </c>
      <c r="H395">
        <v>85</v>
      </c>
      <c r="I395" t="s">
        <v>1223</v>
      </c>
      <c r="J395" s="3">
        <v>146037</v>
      </c>
      <c r="K395" s="3" t="str">
        <f t="shared" si="29"/>
        <v>Maybe</v>
      </c>
      <c r="L395" s="3" t="str">
        <f t="shared" si="26"/>
        <v>Maybe</v>
      </c>
      <c r="M395" s="3"/>
      <c r="N395" s="3" t="str">
        <f t="shared" si="27"/>
        <v>Maybe</v>
      </c>
      <c r="O395" t="s">
        <v>1224</v>
      </c>
      <c r="P395" t="b">
        <f t="shared" si="28"/>
        <v>0</v>
      </c>
    </row>
    <row r="396" spans="1:16" x14ac:dyDescent="0.25">
      <c r="A396">
        <v>395</v>
      </c>
      <c r="B396" t="s">
        <v>1225</v>
      </c>
      <c r="C396">
        <v>-1996</v>
      </c>
      <c r="D396">
        <v>15</v>
      </c>
      <c r="E396" t="s">
        <v>309</v>
      </c>
      <c r="F396" t="s">
        <v>20</v>
      </c>
      <c r="G396">
        <v>8</v>
      </c>
      <c r="H396">
        <v>84</v>
      </c>
      <c r="I396" t="s">
        <v>1226</v>
      </c>
      <c r="J396" s="3">
        <v>93415</v>
      </c>
      <c r="K396" s="3" t="str">
        <f t="shared" si="29"/>
        <v>Maybe</v>
      </c>
      <c r="L396" s="3" t="str">
        <f t="shared" si="26"/>
        <v>Maybe</v>
      </c>
      <c r="M396" s="3"/>
      <c r="N396" s="3" t="str">
        <f t="shared" si="27"/>
        <v>Maybe</v>
      </c>
      <c r="O396" t="s">
        <v>1227</v>
      </c>
      <c r="P396" t="b">
        <f t="shared" si="28"/>
        <v>0</v>
      </c>
    </row>
    <row r="397" spans="1:16" x14ac:dyDescent="0.25">
      <c r="A397">
        <v>396</v>
      </c>
      <c r="B397" t="s">
        <v>1228</v>
      </c>
      <c r="C397">
        <v>-1996</v>
      </c>
      <c r="D397">
        <v>15</v>
      </c>
      <c r="E397" t="s">
        <v>89</v>
      </c>
      <c r="F397" t="s">
        <v>304</v>
      </c>
      <c r="G397">
        <v>8</v>
      </c>
      <c r="H397">
        <v>91</v>
      </c>
      <c r="I397" t="s">
        <v>1229</v>
      </c>
      <c r="J397" s="3">
        <v>42970</v>
      </c>
      <c r="K397" s="3" t="str">
        <f t="shared" si="29"/>
        <v>Maybe</v>
      </c>
      <c r="L397" s="3" t="str">
        <f t="shared" si="26"/>
        <v>Maybe</v>
      </c>
      <c r="M397" s="3"/>
      <c r="N397" s="3" t="str">
        <f t="shared" si="27"/>
        <v>Maybe</v>
      </c>
      <c r="O397" t="s">
        <v>1230</v>
      </c>
      <c r="P397" t="b">
        <f t="shared" si="28"/>
        <v>0</v>
      </c>
    </row>
    <row r="398" spans="1:16" x14ac:dyDescent="0.25">
      <c r="A398">
        <v>397</v>
      </c>
      <c r="B398" t="s">
        <v>1231</v>
      </c>
      <c r="C398">
        <v>-1995</v>
      </c>
      <c r="D398">
        <v>15</v>
      </c>
      <c r="E398" t="s">
        <v>452</v>
      </c>
      <c r="F398" t="s">
        <v>1232</v>
      </c>
      <c r="G398">
        <v>8</v>
      </c>
      <c r="H398">
        <v>74</v>
      </c>
      <c r="I398" t="s">
        <v>660</v>
      </c>
      <c r="J398" s="3">
        <v>610830</v>
      </c>
      <c r="K398" s="3" t="str">
        <f t="shared" si="29"/>
        <v>Maybe</v>
      </c>
      <c r="L398" s="3" t="str">
        <f t="shared" si="26"/>
        <v>Maybe</v>
      </c>
      <c r="M398" s="3"/>
      <c r="N398" s="3" t="str">
        <f t="shared" si="27"/>
        <v>Maybe</v>
      </c>
      <c r="O398" t="s">
        <v>1233</v>
      </c>
      <c r="P398" t="b">
        <f t="shared" si="28"/>
        <v>0</v>
      </c>
    </row>
    <row r="399" spans="1:16" x14ac:dyDescent="0.25">
      <c r="A399">
        <v>398</v>
      </c>
      <c r="B399" t="s">
        <v>1234</v>
      </c>
      <c r="C399">
        <v>-1995</v>
      </c>
      <c r="D399" t="s">
        <v>74</v>
      </c>
      <c r="E399" t="s">
        <v>127</v>
      </c>
      <c r="F399" t="s">
        <v>78</v>
      </c>
      <c r="G399">
        <v>8</v>
      </c>
      <c r="I399" t="s">
        <v>1235</v>
      </c>
      <c r="J399" s="3">
        <v>68613</v>
      </c>
      <c r="K399" s="3" t="str">
        <f t="shared" si="29"/>
        <v>Maybe</v>
      </c>
      <c r="L399" s="3" t="str">
        <f t="shared" si="26"/>
        <v>Maybe</v>
      </c>
      <c r="M399" s="3"/>
      <c r="N399" s="3" t="str">
        <f t="shared" si="27"/>
        <v>Maybe</v>
      </c>
      <c r="P399" t="b">
        <f t="shared" si="28"/>
        <v>0</v>
      </c>
    </row>
    <row r="400" spans="1:16" x14ac:dyDescent="0.25">
      <c r="A400">
        <v>399</v>
      </c>
      <c r="B400" t="s">
        <v>1236</v>
      </c>
      <c r="C400">
        <v>-1994</v>
      </c>
      <c r="D400">
        <v>12</v>
      </c>
      <c r="E400" t="s">
        <v>249</v>
      </c>
      <c r="F400" t="s">
        <v>453</v>
      </c>
      <c r="G400">
        <v>8</v>
      </c>
      <c r="H400">
        <v>78</v>
      </c>
      <c r="I400" t="s">
        <v>1223</v>
      </c>
      <c r="J400" s="3">
        <v>78900</v>
      </c>
      <c r="K400" s="3" t="str">
        <f t="shared" si="29"/>
        <v>Maybe</v>
      </c>
      <c r="L400" s="3" t="str">
        <f t="shared" si="26"/>
        <v>Maybe</v>
      </c>
      <c r="M400" s="3"/>
      <c r="N400" s="3" t="str">
        <f t="shared" si="27"/>
        <v>Maybe</v>
      </c>
      <c r="O400" t="s">
        <v>1237</v>
      </c>
      <c r="P400" t="b">
        <f t="shared" si="28"/>
        <v>0</v>
      </c>
    </row>
    <row r="401" spans="1:16" x14ac:dyDescent="0.25">
      <c r="A401">
        <v>400</v>
      </c>
      <c r="B401" t="s">
        <v>1238</v>
      </c>
      <c r="C401">
        <v>-1994</v>
      </c>
      <c r="D401" t="s">
        <v>49</v>
      </c>
      <c r="E401" t="s">
        <v>260</v>
      </c>
      <c r="F401" t="s">
        <v>717</v>
      </c>
      <c r="G401">
        <v>8</v>
      </c>
      <c r="I401" t="s">
        <v>1239</v>
      </c>
      <c r="J401" s="3">
        <v>52999</v>
      </c>
      <c r="K401" s="3" t="str">
        <f t="shared" si="29"/>
        <v>Maybe</v>
      </c>
      <c r="L401" s="3" t="str">
        <f t="shared" si="26"/>
        <v>Maybe</v>
      </c>
      <c r="M401" s="3"/>
      <c r="N401" s="3" t="str">
        <f t="shared" si="27"/>
        <v>Maybe</v>
      </c>
      <c r="P401" t="b">
        <f t="shared" si="28"/>
        <v>0</v>
      </c>
    </row>
    <row r="402" spans="1:16" x14ac:dyDescent="0.25">
      <c r="A402">
        <v>401</v>
      </c>
      <c r="B402" t="s">
        <v>1240</v>
      </c>
      <c r="C402">
        <v>-1992</v>
      </c>
      <c r="D402">
        <v>15</v>
      </c>
      <c r="E402" t="s">
        <v>527</v>
      </c>
      <c r="F402" t="s">
        <v>20</v>
      </c>
      <c r="G402">
        <v>8</v>
      </c>
      <c r="H402">
        <v>59</v>
      </c>
      <c r="I402" t="s">
        <v>1241</v>
      </c>
      <c r="J402" s="3">
        <v>290620</v>
      </c>
      <c r="K402" s="3" t="str">
        <f t="shared" si="29"/>
        <v>Maybe</v>
      </c>
      <c r="L402" s="3" t="str">
        <f t="shared" si="26"/>
        <v>Maybe</v>
      </c>
      <c r="M402" s="3"/>
      <c r="N402" s="3" t="str">
        <f t="shared" si="27"/>
        <v>Maybe</v>
      </c>
      <c r="O402" t="s">
        <v>1242</v>
      </c>
      <c r="P402" t="b">
        <f t="shared" si="28"/>
        <v>0</v>
      </c>
    </row>
    <row r="403" spans="1:16" x14ac:dyDescent="0.25">
      <c r="A403">
        <v>402</v>
      </c>
      <c r="B403" t="s">
        <v>1243</v>
      </c>
      <c r="C403">
        <v>-1992</v>
      </c>
      <c r="D403" t="s">
        <v>49</v>
      </c>
      <c r="E403" t="s">
        <v>1244</v>
      </c>
      <c r="F403" t="s">
        <v>292</v>
      </c>
      <c r="G403">
        <v>8</v>
      </c>
      <c r="H403">
        <v>86</v>
      </c>
      <c r="I403" t="s">
        <v>1245</v>
      </c>
      <c r="J403" s="3">
        <v>407257</v>
      </c>
      <c r="K403" s="3" t="str">
        <f t="shared" si="29"/>
        <v>Maybe</v>
      </c>
      <c r="L403" s="3" t="str">
        <f t="shared" si="26"/>
        <v>Maybe</v>
      </c>
      <c r="M403" s="3"/>
      <c r="N403" s="3" t="str">
        <f t="shared" si="27"/>
        <v>Maybe</v>
      </c>
      <c r="O403" t="s">
        <v>1246</v>
      </c>
      <c r="P403" t="b">
        <f t="shared" si="28"/>
        <v>0</v>
      </c>
    </row>
    <row r="404" spans="1:16" x14ac:dyDescent="0.25">
      <c r="A404">
        <v>403</v>
      </c>
      <c r="B404" t="s">
        <v>1247</v>
      </c>
      <c r="C404">
        <v>-1991</v>
      </c>
      <c r="D404">
        <v>15</v>
      </c>
      <c r="E404" t="s">
        <v>127</v>
      </c>
      <c r="F404" t="s">
        <v>1248</v>
      </c>
      <c r="G404">
        <v>8</v>
      </c>
      <c r="H404">
        <v>72</v>
      </c>
      <c r="I404" t="s">
        <v>938</v>
      </c>
      <c r="J404" s="3">
        <v>154205</v>
      </c>
      <c r="K404" s="3" t="str">
        <f t="shared" si="29"/>
        <v>Maybe</v>
      </c>
      <c r="L404" s="3" t="str">
        <f t="shared" si="26"/>
        <v>Maybe</v>
      </c>
      <c r="M404" s="3"/>
      <c r="N404" s="3" t="str">
        <f t="shared" si="27"/>
        <v>Maybe</v>
      </c>
      <c r="O404" t="s">
        <v>1249</v>
      </c>
      <c r="P404" t="b">
        <f t="shared" si="28"/>
        <v>0</v>
      </c>
    </row>
    <row r="405" spans="1:16" x14ac:dyDescent="0.25">
      <c r="A405">
        <v>404</v>
      </c>
      <c r="B405" t="s">
        <v>1250</v>
      </c>
      <c r="C405">
        <v>-1991</v>
      </c>
      <c r="D405" t="s">
        <v>49</v>
      </c>
      <c r="E405" t="s">
        <v>1251</v>
      </c>
      <c r="F405" t="s">
        <v>1252</v>
      </c>
      <c r="G405">
        <v>8</v>
      </c>
      <c r="H405">
        <v>95</v>
      </c>
      <c r="I405" t="s">
        <v>1253</v>
      </c>
      <c r="J405" s="3">
        <v>446121</v>
      </c>
      <c r="K405" s="3" t="str">
        <f t="shared" si="29"/>
        <v>Maybe</v>
      </c>
      <c r="L405" s="3" t="str">
        <f t="shared" si="26"/>
        <v>Maybe</v>
      </c>
      <c r="M405" s="3"/>
      <c r="N405" s="3" t="str">
        <f t="shared" si="27"/>
        <v>Maybe</v>
      </c>
      <c r="O405" t="s">
        <v>1254</v>
      </c>
      <c r="P405" t="b">
        <f t="shared" si="28"/>
        <v>0</v>
      </c>
    </row>
    <row r="406" spans="1:16" x14ac:dyDescent="0.25">
      <c r="A406">
        <v>405</v>
      </c>
      <c r="B406" t="s">
        <v>1255</v>
      </c>
      <c r="C406">
        <v>-1990</v>
      </c>
      <c r="D406">
        <v>12</v>
      </c>
      <c r="E406" t="s">
        <v>283</v>
      </c>
      <c r="F406" t="s">
        <v>697</v>
      </c>
      <c r="G406">
        <v>8</v>
      </c>
      <c r="H406">
        <v>72</v>
      </c>
      <c r="I406" t="s">
        <v>1256</v>
      </c>
      <c r="J406" s="3">
        <v>262093</v>
      </c>
      <c r="K406" s="3" t="str">
        <f t="shared" si="29"/>
        <v>Maybe</v>
      </c>
      <c r="L406" s="3" t="str">
        <f t="shared" si="26"/>
        <v>Maybe</v>
      </c>
      <c r="M406" s="3"/>
      <c r="N406" s="3" t="str">
        <f t="shared" si="27"/>
        <v>Maybe</v>
      </c>
      <c r="O406" t="s">
        <v>1257</v>
      </c>
      <c r="P406" t="b">
        <f t="shared" si="28"/>
        <v>0</v>
      </c>
    </row>
    <row r="407" spans="1:16" x14ac:dyDescent="0.25">
      <c r="A407">
        <v>406</v>
      </c>
      <c r="B407" t="s">
        <v>1258</v>
      </c>
      <c r="C407">
        <v>-1988</v>
      </c>
      <c r="D407">
        <v>15</v>
      </c>
      <c r="E407" t="s">
        <v>104</v>
      </c>
      <c r="F407" t="s">
        <v>20</v>
      </c>
      <c r="G407">
        <v>8</v>
      </c>
      <c r="H407">
        <v>65</v>
      </c>
      <c r="I407" t="s">
        <v>1259</v>
      </c>
      <c r="J407" s="3">
        <v>506446</v>
      </c>
      <c r="K407" s="3" t="str">
        <f t="shared" si="29"/>
        <v>Maybe</v>
      </c>
      <c r="L407" s="3" t="str">
        <f t="shared" si="26"/>
        <v>Maybe</v>
      </c>
      <c r="M407" s="3"/>
      <c r="N407" s="3" t="str">
        <f t="shared" si="27"/>
        <v>Maybe</v>
      </c>
      <c r="O407" t="s">
        <v>1260</v>
      </c>
      <c r="P407" t="b">
        <f t="shared" si="28"/>
        <v>0</v>
      </c>
    </row>
    <row r="408" spans="1:16" x14ac:dyDescent="0.25">
      <c r="A408">
        <v>407</v>
      </c>
      <c r="B408" t="s">
        <v>1261</v>
      </c>
      <c r="C408">
        <v>-1988</v>
      </c>
      <c r="D408">
        <v>12</v>
      </c>
      <c r="E408" t="s">
        <v>99</v>
      </c>
      <c r="F408" t="s">
        <v>1206</v>
      </c>
      <c r="G408">
        <v>8</v>
      </c>
      <c r="H408">
        <v>67</v>
      </c>
      <c r="I408" t="s">
        <v>1262</v>
      </c>
      <c r="J408" s="3">
        <v>182484</v>
      </c>
      <c r="K408" s="3" t="str">
        <f t="shared" si="29"/>
        <v>Maybe</v>
      </c>
      <c r="L408" s="3" t="str">
        <f t="shared" si="26"/>
        <v>Maybe</v>
      </c>
      <c r="M408" s="3"/>
      <c r="N408" s="3" t="str">
        <f t="shared" si="27"/>
        <v>Maybe</v>
      </c>
      <c r="O408" t="s">
        <v>1263</v>
      </c>
      <c r="P408" t="b">
        <f t="shared" si="28"/>
        <v>0</v>
      </c>
    </row>
    <row r="409" spans="1:16" x14ac:dyDescent="0.25">
      <c r="A409">
        <v>408</v>
      </c>
      <c r="B409" t="s">
        <v>1264</v>
      </c>
      <c r="C409">
        <v>-1987</v>
      </c>
      <c r="D409" t="s">
        <v>74</v>
      </c>
      <c r="E409" t="s">
        <v>313</v>
      </c>
      <c r="F409" t="s">
        <v>1044</v>
      </c>
      <c r="G409">
        <v>8</v>
      </c>
      <c r="H409">
        <v>77</v>
      </c>
      <c r="I409" t="s">
        <v>935</v>
      </c>
      <c r="J409" s="3">
        <v>422438</v>
      </c>
      <c r="K409" s="3" t="str">
        <f t="shared" si="29"/>
        <v>Maybe</v>
      </c>
      <c r="L409" s="3" t="str">
        <f t="shared" si="26"/>
        <v>Maybe</v>
      </c>
      <c r="M409" s="3"/>
      <c r="N409" s="3" t="str">
        <f t="shared" si="27"/>
        <v>Maybe</v>
      </c>
      <c r="O409" t="s">
        <v>1265</v>
      </c>
      <c r="P409" t="b">
        <f t="shared" si="28"/>
        <v>0</v>
      </c>
    </row>
    <row r="410" spans="1:16" x14ac:dyDescent="0.25">
      <c r="A410">
        <v>409</v>
      </c>
      <c r="B410" t="s">
        <v>1266</v>
      </c>
      <c r="C410">
        <v>-1987</v>
      </c>
      <c r="D410" t="s">
        <v>74</v>
      </c>
      <c r="E410" t="s">
        <v>477</v>
      </c>
      <c r="F410" t="s">
        <v>1267</v>
      </c>
      <c r="G410">
        <v>8</v>
      </c>
      <c r="H410">
        <v>79</v>
      </c>
      <c r="I410" t="s">
        <v>1268</v>
      </c>
      <c r="J410" s="3">
        <v>70334</v>
      </c>
      <c r="K410" s="3" t="str">
        <f t="shared" si="29"/>
        <v>Maybe</v>
      </c>
      <c r="L410" s="3" t="str">
        <f t="shared" si="26"/>
        <v>Maybe</v>
      </c>
      <c r="M410" s="3"/>
      <c r="N410" s="3" t="str">
        <f t="shared" si="27"/>
        <v>Maybe</v>
      </c>
      <c r="O410" t="s">
        <v>1269</v>
      </c>
      <c r="P410" t="b">
        <f t="shared" si="28"/>
        <v>0</v>
      </c>
    </row>
    <row r="411" spans="1:16" x14ac:dyDescent="0.25">
      <c r="A411">
        <v>410</v>
      </c>
      <c r="B411" t="s">
        <v>1270</v>
      </c>
      <c r="C411">
        <v>-1987</v>
      </c>
      <c r="D411" t="s">
        <v>74</v>
      </c>
      <c r="E411" t="s">
        <v>418</v>
      </c>
      <c r="F411" t="s">
        <v>124</v>
      </c>
      <c r="G411">
        <v>8</v>
      </c>
      <c r="H411">
        <v>88</v>
      </c>
      <c r="I411" t="s">
        <v>1271</v>
      </c>
      <c r="J411" s="3">
        <v>33664</v>
      </c>
      <c r="K411" s="3" t="str">
        <f t="shared" si="29"/>
        <v>Maybe</v>
      </c>
      <c r="L411" s="3" t="str">
        <f t="shared" si="26"/>
        <v>Maybe</v>
      </c>
      <c r="M411" s="3"/>
      <c r="N411" s="3" t="str">
        <f t="shared" si="27"/>
        <v>Maybe</v>
      </c>
      <c r="O411" t="s">
        <v>1272</v>
      </c>
      <c r="P411" t="b">
        <f t="shared" si="28"/>
        <v>0</v>
      </c>
    </row>
    <row r="412" spans="1:16" x14ac:dyDescent="0.25">
      <c r="A412">
        <v>411</v>
      </c>
      <c r="B412" t="s">
        <v>1273</v>
      </c>
      <c r="C412">
        <v>-1986</v>
      </c>
      <c r="D412" t="s">
        <v>74</v>
      </c>
      <c r="E412" t="s">
        <v>119</v>
      </c>
      <c r="F412" t="s">
        <v>120</v>
      </c>
      <c r="G412">
        <v>8</v>
      </c>
      <c r="H412">
        <v>78</v>
      </c>
      <c r="I412" t="s">
        <v>121</v>
      </c>
      <c r="J412" s="3">
        <v>163978</v>
      </c>
      <c r="K412" s="3" t="str">
        <f t="shared" si="29"/>
        <v>Maybe</v>
      </c>
      <c r="L412" s="3" t="str">
        <f t="shared" si="26"/>
        <v>Maybe</v>
      </c>
      <c r="M412" s="3"/>
      <c r="N412" s="3" t="str">
        <f t="shared" si="27"/>
        <v>Maybe</v>
      </c>
      <c r="P412" t="b">
        <f t="shared" si="28"/>
        <v>0</v>
      </c>
    </row>
    <row r="413" spans="1:16" x14ac:dyDescent="0.25">
      <c r="A413">
        <v>412</v>
      </c>
      <c r="B413" t="s">
        <v>1274</v>
      </c>
      <c r="C413">
        <v>-1984</v>
      </c>
      <c r="D413">
        <v>15</v>
      </c>
      <c r="E413" t="s">
        <v>94</v>
      </c>
      <c r="F413" t="s">
        <v>20</v>
      </c>
      <c r="G413">
        <v>8</v>
      </c>
      <c r="H413">
        <v>78</v>
      </c>
      <c r="I413" t="s">
        <v>1268</v>
      </c>
      <c r="J413" s="3">
        <v>104322</v>
      </c>
      <c r="K413" s="3" t="str">
        <f t="shared" si="29"/>
        <v>Maybe</v>
      </c>
      <c r="L413" s="3" t="str">
        <f t="shared" si="26"/>
        <v>Maybe</v>
      </c>
      <c r="M413" s="3"/>
      <c r="N413" s="3" t="str">
        <f t="shared" si="27"/>
        <v>Maybe</v>
      </c>
      <c r="O413" t="s">
        <v>1275</v>
      </c>
      <c r="P413" t="b">
        <f t="shared" si="28"/>
        <v>0</v>
      </c>
    </row>
    <row r="414" spans="1:16" x14ac:dyDescent="0.25">
      <c r="A414">
        <v>413</v>
      </c>
      <c r="B414" t="s">
        <v>1276</v>
      </c>
      <c r="C414">
        <v>-1984</v>
      </c>
      <c r="D414" t="s">
        <v>49</v>
      </c>
      <c r="E414" t="s">
        <v>232</v>
      </c>
      <c r="F414" t="s">
        <v>1277</v>
      </c>
      <c r="G414">
        <v>8</v>
      </c>
      <c r="H414">
        <v>86</v>
      </c>
      <c r="I414" t="s">
        <v>121</v>
      </c>
      <c r="J414" s="3">
        <v>166978</v>
      </c>
      <c r="K414" s="3" t="str">
        <f t="shared" si="29"/>
        <v>Maybe</v>
      </c>
      <c r="L414" s="3" t="str">
        <f t="shared" si="26"/>
        <v>Maybe</v>
      </c>
      <c r="M414" s="3"/>
      <c r="N414" s="3" t="str">
        <f t="shared" si="27"/>
        <v>Maybe</v>
      </c>
      <c r="O414" t="s">
        <v>1278</v>
      </c>
      <c r="P414" t="b">
        <f t="shared" si="28"/>
        <v>0</v>
      </c>
    </row>
    <row r="415" spans="1:16" x14ac:dyDescent="0.25">
      <c r="A415">
        <v>414</v>
      </c>
      <c r="B415" t="s">
        <v>1279</v>
      </c>
      <c r="C415">
        <v>-1983</v>
      </c>
      <c r="D415">
        <v>15</v>
      </c>
      <c r="E415" t="s">
        <v>119</v>
      </c>
      <c r="F415" t="s">
        <v>20</v>
      </c>
      <c r="G415">
        <v>8</v>
      </c>
      <c r="I415" t="s">
        <v>957</v>
      </c>
      <c r="J415" s="3">
        <v>26796</v>
      </c>
      <c r="K415" s="3" t="str">
        <f t="shared" si="29"/>
        <v>Maybe</v>
      </c>
      <c r="L415" s="3" t="str">
        <f t="shared" si="26"/>
        <v>Maybe</v>
      </c>
      <c r="M415" s="3"/>
      <c r="N415" s="3" t="str">
        <f t="shared" si="27"/>
        <v>Maybe</v>
      </c>
      <c r="O415" t="s">
        <v>684</v>
      </c>
      <c r="P415" t="b">
        <f t="shared" si="28"/>
        <v>0</v>
      </c>
    </row>
    <row r="416" spans="1:16" x14ac:dyDescent="0.25">
      <c r="A416">
        <v>415</v>
      </c>
      <c r="B416" t="s">
        <v>1280</v>
      </c>
      <c r="C416">
        <v>-1982</v>
      </c>
      <c r="D416" t="s">
        <v>236</v>
      </c>
      <c r="E416" t="s">
        <v>356</v>
      </c>
      <c r="F416" t="s">
        <v>1281</v>
      </c>
      <c r="G416">
        <v>8</v>
      </c>
      <c r="H416">
        <v>47</v>
      </c>
      <c r="I416" t="s">
        <v>1282</v>
      </c>
      <c r="J416" s="3">
        <v>80505</v>
      </c>
      <c r="K416" s="3" t="str">
        <f t="shared" si="29"/>
        <v>Maybe</v>
      </c>
      <c r="L416" s="3" t="str">
        <f t="shared" si="26"/>
        <v>Maybe</v>
      </c>
      <c r="M416" s="3"/>
      <c r="N416" s="3" t="str">
        <f t="shared" si="27"/>
        <v>Maybe</v>
      </c>
      <c r="O416" t="s">
        <v>1283</v>
      </c>
      <c r="P416" t="b">
        <f t="shared" si="28"/>
        <v>0</v>
      </c>
    </row>
    <row r="417" spans="1:16" x14ac:dyDescent="0.25">
      <c r="A417">
        <v>416</v>
      </c>
      <c r="B417" t="s">
        <v>1284</v>
      </c>
      <c r="C417">
        <v>-1982</v>
      </c>
      <c r="D417" t="s">
        <v>155</v>
      </c>
      <c r="E417" t="s">
        <v>272</v>
      </c>
      <c r="F417" t="s">
        <v>934</v>
      </c>
      <c r="G417">
        <v>8</v>
      </c>
      <c r="I417" t="s">
        <v>1285</v>
      </c>
      <c r="J417" s="3">
        <v>34672</v>
      </c>
      <c r="K417" s="3" t="str">
        <f t="shared" si="29"/>
        <v>Maybe</v>
      </c>
      <c r="L417" s="3" t="str">
        <f t="shared" si="26"/>
        <v>Maybe</v>
      </c>
      <c r="M417" s="3"/>
      <c r="N417" s="3" t="str">
        <f t="shared" si="27"/>
        <v>Maybe</v>
      </c>
      <c r="P417" t="b">
        <f t="shared" si="28"/>
        <v>0</v>
      </c>
    </row>
    <row r="418" spans="1:16" x14ac:dyDescent="0.25">
      <c r="A418">
        <v>417</v>
      </c>
      <c r="B418" t="s">
        <v>1286</v>
      </c>
      <c r="C418">
        <v>-1979</v>
      </c>
      <c r="D418" t="s">
        <v>236</v>
      </c>
      <c r="E418" t="s">
        <v>1057</v>
      </c>
      <c r="F418" t="s">
        <v>1287</v>
      </c>
      <c r="G418">
        <v>8</v>
      </c>
      <c r="H418">
        <v>77</v>
      </c>
      <c r="I418" t="s">
        <v>1288</v>
      </c>
      <c r="J418" s="3">
        <v>394533</v>
      </c>
      <c r="K418" s="3" t="str">
        <f t="shared" si="29"/>
        <v>Maybe</v>
      </c>
      <c r="L418" s="3" t="str">
        <f t="shared" si="26"/>
        <v>Maybe</v>
      </c>
      <c r="M418" s="3"/>
      <c r="N418" s="3" t="str">
        <f t="shared" si="27"/>
        <v>Maybe</v>
      </c>
      <c r="O418" t="s">
        <v>1289</v>
      </c>
      <c r="P418" t="b">
        <f t="shared" si="28"/>
        <v>0</v>
      </c>
    </row>
    <row r="419" spans="1:16" x14ac:dyDescent="0.25">
      <c r="A419">
        <v>418</v>
      </c>
      <c r="B419" t="s">
        <v>1290</v>
      </c>
      <c r="C419">
        <v>-1979</v>
      </c>
      <c r="D419" t="s">
        <v>236</v>
      </c>
      <c r="E419" t="s">
        <v>108</v>
      </c>
      <c r="F419" t="s">
        <v>304</v>
      </c>
      <c r="G419">
        <v>8</v>
      </c>
      <c r="H419">
        <v>83</v>
      </c>
      <c r="I419" t="s">
        <v>1291</v>
      </c>
      <c r="J419" s="3">
        <v>71967</v>
      </c>
      <c r="K419" s="3" t="str">
        <f t="shared" si="29"/>
        <v>Maybe</v>
      </c>
      <c r="L419" s="3" t="str">
        <f t="shared" si="26"/>
        <v>Maybe</v>
      </c>
      <c r="M419" s="3"/>
      <c r="N419" s="3" t="str">
        <f t="shared" si="27"/>
        <v>Maybe</v>
      </c>
      <c r="O419" t="s">
        <v>1292</v>
      </c>
      <c r="P419" t="b">
        <f t="shared" si="28"/>
        <v>0</v>
      </c>
    </row>
    <row r="420" spans="1:16" x14ac:dyDescent="0.25">
      <c r="A420">
        <v>419</v>
      </c>
      <c r="B420" t="s">
        <v>1293</v>
      </c>
      <c r="C420">
        <v>-1977</v>
      </c>
      <c r="D420" t="s">
        <v>236</v>
      </c>
      <c r="E420" t="s">
        <v>823</v>
      </c>
      <c r="F420" t="s">
        <v>414</v>
      </c>
      <c r="G420">
        <v>8</v>
      </c>
      <c r="H420">
        <v>92</v>
      </c>
      <c r="I420" t="s">
        <v>1294</v>
      </c>
      <c r="J420" s="3">
        <v>263488</v>
      </c>
      <c r="K420" s="3" t="str">
        <f t="shared" si="29"/>
        <v>Maybe</v>
      </c>
      <c r="L420" s="3" t="str">
        <f t="shared" si="26"/>
        <v>Maybe</v>
      </c>
      <c r="M420" s="3"/>
      <c r="N420" s="3" t="str">
        <f t="shared" si="27"/>
        <v>Maybe</v>
      </c>
      <c r="O420" t="s">
        <v>1295</v>
      </c>
      <c r="P420" t="b">
        <f t="shared" si="28"/>
        <v>0</v>
      </c>
    </row>
    <row r="421" spans="1:16" x14ac:dyDescent="0.25">
      <c r="A421">
        <v>420</v>
      </c>
      <c r="B421" t="s">
        <v>1296</v>
      </c>
      <c r="C421">
        <v>-1975</v>
      </c>
      <c r="D421" t="s">
        <v>24</v>
      </c>
      <c r="E421" t="s">
        <v>119</v>
      </c>
      <c r="F421" t="s">
        <v>95</v>
      </c>
      <c r="G421">
        <v>8</v>
      </c>
      <c r="H421">
        <v>86</v>
      </c>
      <c r="I421" t="s">
        <v>51</v>
      </c>
      <c r="J421" s="3">
        <v>253685</v>
      </c>
      <c r="K421" s="3" t="str">
        <f t="shared" si="29"/>
        <v>Maybe</v>
      </c>
      <c r="L421" s="3" t="str">
        <f t="shared" si="26"/>
        <v>Maybe</v>
      </c>
      <c r="M421" s="3"/>
      <c r="N421" s="3" t="str">
        <f t="shared" si="27"/>
        <v>Maybe</v>
      </c>
      <c r="O421" t="s">
        <v>1297</v>
      </c>
      <c r="P421" t="b">
        <f t="shared" si="28"/>
        <v>0</v>
      </c>
    </row>
    <row r="422" spans="1:16" x14ac:dyDescent="0.25">
      <c r="A422">
        <v>421</v>
      </c>
      <c r="B422" t="s">
        <v>1298</v>
      </c>
      <c r="C422">
        <v>-1975</v>
      </c>
      <c r="D422" t="s">
        <v>49</v>
      </c>
      <c r="E422" t="s">
        <v>493</v>
      </c>
      <c r="F422" t="s">
        <v>606</v>
      </c>
      <c r="G422">
        <v>8</v>
      </c>
      <c r="H422">
        <v>80</v>
      </c>
      <c r="I422" t="s">
        <v>957</v>
      </c>
      <c r="J422" s="3">
        <v>45990</v>
      </c>
      <c r="K422" s="3" t="str">
        <f t="shared" si="29"/>
        <v>Maybe</v>
      </c>
      <c r="L422" s="3" t="str">
        <f t="shared" si="26"/>
        <v>Maybe</v>
      </c>
      <c r="M422" s="3"/>
      <c r="N422" s="3" t="str">
        <f t="shared" si="27"/>
        <v>Maybe</v>
      </c>
      <c r="O422" t="s">
        <v>1299</v>
      </c>
      <c r="P422" t="b">
        <f t="shared" si="28"/>
        <v>0</v>
      </c>
    </row>
    <row r="423" spans="1:16" x14ac:dyDescent="0.25">
      <c r="A423">
        <v>422</v>
      </c>
      <c r="B423" t="s">
        <v>1300</v>
      </c>
      <c r="C423">
        <v>-1974</v>
      </c>
      <c r="D423" t="s">
        <v>236</v>
      </c>
      <c r="E423" t="s">
        <v>171</v>
      </c>
      <c r="F423" t="s">
        <v>1287</v>
      </c>
      <c r="G423">
        <v>8</v>
      </c>
      <c r="H423">
        <v>80</v>
      </c>
      <c r="I423" t="s">
        <v>1301</v>
      </c>
      <c r="J423" s="3">
        <v>156395</v>
      </c>
      <c r="K423" s="3" t="str">
        <f t="shared" si="29"/>
        <v>Maybe</v>
      </c>
      <c r="L423" s="3" t="str">
        <f t="shared" si="26"/>
        <v>Maybe</v>
      </c>
      <c r="M423" s="3"/>
      <c r="N423" s="3" t="str">
        <f t="shared" si="27"/>
        <v>Maybe</v>
      </c>
      <c r="O423" t="s">
        <v>1302</v>
      </c>
      <c r="P423" t="b">
        <f t="shared" si="28"/>
        <v>0</v>
      </c>
    </row>
    <row r="424" spans="1:16" x14ac:dyDescent="0.25">
      <c r="A424">
        <v>423</v>
      </c>
      <c r="B424" t="s">
        <v>1303</v>
      </c>
      <c r="C424">
        <v>-1973</v>
      </c>
      <c r="D424">
        <v>15</v>
      </c>
      <c r="E424" t="s">
        <v>190</v>
      </c>
      <c r="F424" t="s">
        <v>95</v>
      </c>
      <c r="G424">
        <v>8</v>
      </c>
      <c r="H424">
        <v>58</v>
      </c>
      <c r="I424" t="s">
        <v>1304</v>
      </c>
      <c r="J424" s="3">
        <v>129631</v>
      </c>
      <c r="K424" s="3" t="str">
        <f t="shared" si="29"/>
        <v>Maybe</v>
      </c>
      <c r="L424" s="3" t="str">
        <f t="shared" si="26"/>
        <v>Maybe</v>
      </c>
      <c r="M424" s="3"/>
      <c r="N424" s="3" t="str">
        <f t="shared" si="27"/>
        <v>Maybe</v>
      </c>
      <c r="O424" t="s">
        <v>1305</v>
      </c>
      <c r="P424" t="b">
        <f t="shared" si="28"/>
        <v>0</v>
      </c>
    </row>
    <row r="425" spans="1:16" x14ac:dyDescent="0.25">
      <c r="A425">
        <v>424</v>
      </c>
      <c r="B425" t="s">
        <v>1306</v>
      </c>
      <c r="C425">
        <v>-1972</v>
      </c>
      <c r="D425" t="s">
        <v>24</v>
      </c>
      <c r="E425" t="s">
        <v>658</v>
      </c>
      <c r="F425" t="s">
        <v>20</v>
      </c>
      <c r="G425">
        <v>8</v>
      </c>
      <c r="I425" t="s">
        <v>952</v>
      </c>
      <c r="J425" s="3">
        <v>33926</v>
      </c>
      <c r="K425" s="3" t="str">
        <f t="shared" si="29"/>
        <v>Maybe</v>
      </c>
      <c r="L425" s="3" t="str">
        <f t="shared" si="26"/>
        <v>Maybe</v>
      </c>
      <c r="M425" s="3"/>
      <c r="N425" s="3" t="str">
        <f t="shared" si="27"/>
        <v>Maybe</v>
      </c>
      <c r="O425" t="s">
        <v>1307</v>
      </c>
      <c r="P425" t="b">
        <f t="shared" si="28"/>
        <v>0</v>
      </c>
    </row>
    <row r="426" spans="1:16" x14ac:dyDescent="0.25">
      <c r="A426">
        <v>425</v>
      </c>
      <c r="B426" t="s">
        <v>1308</v>
      </c>
      <c r="C426">
        <v>-1972</v>
      </c>
      <c r="D426" t="s">
        <v>155</v>
      </c>
      <c r="E426" t="s">
        <v>534</v>
      </c>
      <c r="F426" t="s">
        <v>187</v>
      </c>
      <c r="G426">
        <v>8</v>
      </c>
      <c r="H426">
        <v>90</v>
      </c>
      <c r="I426" t="s">
        <v>957</v>
      </c>
      <c r="J426" s="3">
        <v>90196</v>
      </c>
      <c r="K426" s="3" t="str">
        <f t="shared" si="29"/>
        <v>Maybe</v>
      </c>
      <c r="L426" s="3" t="str">
        <f t="shared" si="26"/>
        <v>Maybe</v>
      </c>
      <c r="M426" s="3"/>
      <c r="N426" s="3" t="str">
        <f t="shared" si="27"/>
        <v>Maybe</v>
      </c>
      <c r="P426" t="b">
        <f t="shared" si="28"/>
        <v>0</v>
      </c>
    </row>
    <row r="427" spans="1:16" x14ac:dyDescent="0.25">
      <c r="A427">
        <v>426</v>
      </c>
      <c r="B427" t="s">
        <v>1309</v>
      </c>
      <c r="C427">
        <v>-1972</v>
      </c>
      <c r="D427" t="s">
        <v>236</v>
      </c>
      <c r="E427" t="s">
        <v>515</v>
      </c>
      <c r="F427" t="s">
        <v>246</v>
      </c>
      <c r="G427">
        <v>8</v>
      </c>
      <c r="I427" t="s">
        <v>695</v>
      </c>
      <c r="J427" s="3">
        <v>47512</v>
      </c>
      <c r="K427" s="3" t="str">
        <f t="shared" si="29"/>
        <v>Maybe</v>
      </c>
      <c r="L427" s="3" t="str">
        <f t="shared" si="26"/>
        <v>Maybe</v>
      </c>
      <c r="M427" s="3"/>
      <c r="N427" s="3" t="str">
        <f t="shared" si="27"/>
        <v>Maybe</v>
      </c>
      <c r="O427" t="s">
        <v>1310</v>
      </c>
      <c r="P427" t="b">
        <f t="shared" si="28"/>
        <v>0</v>
      </c>
    </row>
    <row r="428" spans="1:16" x14ac:dyDescent="0.25">
      <c r="A428">
        <v>427</v>
      </c>
      <c r="B428" t="s">
        <v>1311</v>
      </c>
      <c r="C428">
        <v>-1971</v>
      </c>
      <c r="D428" t="s">
        <v>24</v>
      </c>
      <c r="E428" t="s">
        <v>143</v>
      </c>
      <c r="F428" t="s">
        <v>78</v>
      </c>
      <c r="G428">
        <v>8</v>
      </c>
      <c r="H428">
        <v>93</v>
      </c>
      <c r="I428" t="s">
        <v>979</v>
      </c>
      <c r="J428" s="3">
        <v>47929</v>
      </c>
      <c r="K428" s="3" t="str">
        <f t="shared" si="29"/>
        <v>Maybe</v>
      </c>
      <c r="L428" s="3" t="str">
        <f t="shared" si="26"/>
        <v>Maybe</v>
      </c>
      <c r="M428" s="3"/>
      <c r="N428" s="3" t="str">
        <f t="shared" si="27"/>
        <v>Maybe</v>
      </c>
      <c r="O428" t="s">
        <v>1312</v>
      </c>
      <c r="P428" t="b">
        <f t="shared" si="28"/>
        <v>0</v>
      </c>
    </row>
    <row r="429" spans="1:16" x14ac:dyDescent="0.25">
      <c r="A429">
        <v>428</v>
      </c>
      <c r="B429" t="s">
        <v>1313</v>
      </c>
      <c r="C429">
        <v>-1971</v>
      </c>
      <c r="D429" t="s">
        <v>49</v>
      </c>
      <c r="E429" t="s">
        <v>283</v>
      </c>
      <c r="F429" t="s">
        <v>1314</v>
      </c>
      <c r="G429">
        <v>8</v>
      </c>
      <c r="H429">
        <v>67</v>
      </c>
      <c r="I429" t="s">
        <v>1315</v>
      </c>
      <c r="J429" s="3">
        <v>43297</v>
      </c>
      <c r="K429" s="3" t="str">
        <f t="shared" si="29"/>
        <v>Maybe</v>
      </c>
      <c r="L429" s="3" t="str">
        <f t="shared" si="26"/>
        <v>Maybe</v>
      </c>
      <c r="M429" s="3"/>
      <c r="N429" s="3" t="str">
        <f t="shared" si="27"/>
        <v>Maybe</v>
      </c>
      <c r="O429" t="s">
        <v>1316</v>
      </c>
      <c r="P429" t="b">
        <f t="shared" si="28"/>
        <v>0</v>
      </c>
    </row>
    <row r="430" spans="1:16" x14ac:dyDescent="0.25">
      <c r="A430">
        <v>429</v>
      </c>
      <c r="B430" t="s">
        <v>1317</v>
      </c>
      <c r="C430">
        <v>-1969</v>
      </c>
      <c r="D430" t="s">
        <v>155</v>
      </c>
      <c r="E430" t="s">
        <v>209</v>
      </c>
      <c r="F430" t="s">
        <v>95</v>
      </c>
      <c r="G430">
        <v>8</v>
      </c>
      <c r="H430">
        <v>66</v>
      </c>
      <c r="I430" t="s">
        <v>454</v>
      </c>
      <c r="J430" s="3">
        <v>213977</v>
      </c>
      <c r="K430" s="3" t="str">
        <f t="shared" si="29"/>
        <v>Maybe</v>
      </c>
      <c r="L430" s="3" t="str">
        <f t="shared" si="26"/>
        <v>Maybe</v>
      </c>
      <c r="M430" s="3"/>
      <c r="N430" s="3" t="str">
        <f t="shared" si="27"/>
        <v>Maybe</v>
      </c>
      <c r="O430" t="s">
        <v>1318</v>
      </c>
      <c r="P430" t="b">
        <f t="shared" si="28"/>
        <v>0</v>
      </c>
    </row>
    <row r="431" spans="1:16" x14ac:dyDescent="0.25">
      <c r="A431">
        <v>430</v>
      </c>
      <c r="B431" t="s">
        <v>1319</v>
      </c>
      <c r="C431">
        <v>-1968</v>
      </c>
      <c r="D431">
        <v>18</v>
      </c>
      <c r="E431" t="s">
        <v>139</v>
      </c>
      <c r="F431" t="s">
        <v>350</v>
      </c>
      <c r="G431">
        <v>8</v>
      </c>
      <c r="H431">
        <v>96</v>
      </c>
      <c r="I431" t="s">
        <v>195</v>
      </c>
      <c r="J431" s="3">
        <v>212100</v>
      </c>
      <c r="K431" s="3" t="str">
        <f t="shared" si="29"/>
        <v>Maybe</v>
      </c>
      <c r="L431" s="3" t="str">
        <f t="shared" si="26"/>
        <v>Maybe</v>
      </c>
      <c r="M431" s="3"/>
      <c r="N431" s="3" t="str">
        <f t="shared" si="27"/>
        <v>Maybe</v>
      </c>
      <c r="P431" t="b">
        <f t="shared" si="28"/>
        <v>0</v>
      </c>
    </row>
    <row r="432" spans="1:16" x14ac:dyDescent="0.25">
      <c r="A432">
        <v>431</v>
      </c>
      <c r="B432" t="s">
        <v>1320</v>
      </c>
      <c r="C432">
        <v>-1968</v>
      </c>
      <c r="D432" t="s">
        <v>155</v>
      </c>
      <c r="E432" t="s">
        <v>176</v>
      </c>
      <c r="F432" t="s">
        <v>460</v>
      </c>
      <c r="G432">
        <v>8</v>
      </c>
      <c r="H432">
        <v>79</v>
      </c>
      <c r="I432" t="s">
        <v>1304</v>
      </c>
      <c r="J432" s="3">
        <v>178361</v>
      </c>
      <c r="K432" s="3" t="str">
        <f t="shared" si="29"/>
        <v>Maybe</v>
      </c>
      <c r="L432" s="3" t="str">
        <f t="shared" si="26"/>
        <v>Maybe</v>
      </c>
      <c r="M432" s="3"/>
      <c r="N432" s="3" t="str">
        <f t="shared" si="27"/>
        <v>Maybe</v>
      </c>
      <c r="O432" t="s">
        <v>1321</v>
      </c>
      <c r="P432" t="b">
        <f t="shared" si="28"/>
        <v>0</v>
      </c>
    </row>
    <row r="433" spans="1:16" x14ac:dyDescent="0.25">
      <c r="A433">
        <v>432</v>
      </c>
      <c r="B433" t="s">
        <v>1322</v>
      </c>
      <c r="C433">
        <v>-1967</v>
      </c>
      <c r="D433" t="s">
        <v>155</v>
      </c>
      <c r="E433" t="s">
        <v>291</v>
      </c>
      <c r="F433" t="s">
        <v>26</v>
      </c>
      <c r="G433">
        <v>8</v>
      </c>
      <c r="I433" t="s">
        <v>1323</v>
      </c>
      <c r="J433" s="3">
        <v>50881</v>
      </c>
      <c r="K433" s="3" t="str">
        <f t="shared" si="29"/>
        <v>Maybe</v>
      </c>
      <c r="L433" s="3" t="str">
        <f t="shared" si="26"/>
        <v>Maybe</v>
      </c>
      <c r="M433" s="3"/>
      <c r="N433" s="3" t="str">
        <f t="shared" si="27"/>
        <v>Maybe</v>
      </c>
      <c r="O433" t="s">
        <v>555</v>
      </c>
      <c r="P433" t="b">
        <f t="shared" si="28"/>
        <v>0</v>
      </c>
    </row>
    <row r="434" spans="1:16" x14ac:dyDescent="0.25">
      <c r="A434">
        <v>433</v>
      </c>
      <c r="B434" t="s">
        <v>1324</v>
      </c>
      <c r="C434">
        <v>-1967</v>
      </c>
      <c r="D434" t="s">
        <v>24</v>
      </c>
      <c r="E434" t="s">
        <v>171</v>
      </c>
      <c r="F434" t="s">
        <v>132</v>
      </c>
      <c r="G434">
        <v>8</v>
      </c>
      <c r="H434">
        <v>83</v>
      </c>
      <c r="I434" t="s">
        <v>1325</v>
      </c>
      <c r="J434" s="3">
        <v>270582</v>
      </c>
      <c r="K434" s="3" t="str">
        <f t="shared" si="29"/>
        <v>Maybe</v>
      </c>
      <c r="L434" s="3" t="str">
        <f t="shared" si="26"/>
        <v>Maybe</v>
      </c>
      <c r="M434" s="3"/>
      <c r="N434" s="3" t="str">
        <f t="shared" si="27"/>
        <v>Maybe</v>
      </c>
      <c r="O434" t="s">
        <v>1326</v>
      </c>
      <c r="P434" t="b">
        <f t="shared" si="28"/>
        <v>0</v>
      </c>
    </row>
    <row r="435" spans="1:16" x14ac:dyDescent="0.25">
      <c r="A435">
        <v>434</v>
      </c>
      <c r="B435" t="s">
        <v>1327</v>
      </c>
      <c r="C435">
        <v>-1966</v>
      </c>
      <c r="D435" t="s">
        <v>24</v>
      </c>
      <c r="E435" t="s">
        <v>388</v>
      </c>
      <c r="F435" t="s">
        <v>20</v>
      </c>
      <c r="G435">
        <v>8</v>
      </c>
      <c r="H435">
        <v>75</v>
      </c>
      <c r="I435" t="s">
        <v>1325</v>
      </c>
      <c r="J435" s="3">
        <v>74719</v>
      </c>
      <c r="K435" s="3" t="str">
        <f t="shared" si="29"/>
        <v>Maybe</v>
      </c>
      <c r="L435" s="3" t="str">
        <f t="shared" si="26"/>
        <v>Maybe</v>
      </c>
      <c r="M435" s="3"/>
      <c r="N435" s="3" t="str">
        <f t="shared" si="27"/>
        <v>Maybe</v>
      </c>
      <c r="P435" t="b">
        <f t="shared" si="28"/>
        <v>0</v>
      </c>
    </row>
    <row r="436" spans="1:16" x14ac:dyDescent="0.25">
      <c r="A436">
        <v>435</v>
      </c>
      <c r="B436" t="s">
        <v>1328</v>
      </c>
      <c r="C436">
        <v>-1966</v>
      </c>
      <c r="D436" t="s">
        <v>236</v>
      </c>
      <c r="E436" t="s">
        <v>1329</v>
      </c>
      <c r="F436" t="s">
        <v>42</v>
      </c>
      <c r="G436">
        <v>8</v>
      </c>
      <c r="I436" t="s">
        <v>957</v>
      </c>
      <c r="J436" s="3">
        <v>53155</v>
      </c>
      <c r="K436" s="3" t="str">
        <f t="shared" si="29"/>
        <v>Maybe</v>
      </c>
      <c r="L436" s="3" t="str">
        <f t="shared" si="26"/>
        <v>Maybe</v>
      </c>
      <c r="M436" s="3"/>
      <c r="N436" s="3" t="str">
        <f t="shared" si="27"/>
        <v>Maybe</v>
      </c>
      <c r="O436" t="s">
        <v>693</v>
      </c>
      <c r="P436" t="b">
        <f t="shared" si="28"/>
        <v>0</v>
      </c>
    </row>
    <row r="437" spans="1:16" x14ac:dyDescent="0.25">
      <c r="A437">
        <v>436</v>
      </c>
      <c r="B437" t="s">
        <v>1330</v>
      </c>
      <c r="C437">
        <v>-1963</v>
      </c>
      <c r="D437" t="s">
        <v>49</v>
      </c>
      <c r="E437" t="s">
        <v>541</v>
      </c>
      <c r="F437" t="s">
        <v>1016</v>
      </c>
      <c r="G437">
        <v>8</v>
      </c>
      <c r="H437">
        <v>100</v>
      </c>
      <c r="I437" t="s">
        <v>1331</v>
      </c>
      <c r="J437" s="3">
        <v>25747</v>
      </c>
      <c r="K437" s="3" t="str">
        <f t="shared" si="29"/>
        <v>Maybe</v>
      </c>
      <c r="L437" s="3" t="str">
        <f t="shared" si="26"/>
        <v>Maybe</v>
      </c>
      <c r="M437" s="3"/>
      <c r="N437" s="3" t="str">
        <f t="shared" si="27"/>
        <v>Maybe</v>
      </c>
      <c r="P437" t="b">
        <f t="shared" si="28"/>
        <v>0</v>
      </c>
    </row>
    <row r="438" spans="1:16" x14ac:dyDescent="0.25">
      <c r="A438">
        <v>437</v>
      </c>
      <c r="B438" t="s">
        <v>1332</v>
      </c>
      <c r="C438">
        <v>-1963</v>
      </c>
      <c r="D438" t="s">
        <v>155</v>
      </c>
      <c r="E438" t="s">
        <v>515</v>
      </c>
      <c r="F438" t="s">
        <v>20</v>
      </c>
      <c r="G438">
        <v>8</v>
      </c>
      <c r="H438">
        <v>91</v>
      </c>
      <c r="I438" t="s">
        <v>1013</v>
      </c>
      <c r="J438" s="3">
        <v>116903</v>
      </c>
      <c r="K438" s="3" t="str">
        <f t="shared" si="29"/>
        <v>Maybe</v>
      </c>
      <c r="L438" s="3" t="str">
        <f t="shared" si="26"/>
        <v>Maybe</v>
      </c>
      <c r="M438" s="3"/>
      <c r="N438" s="3" t="str">
        <f t="shared" si="27"/>
        <v>Maybe</v>
      </c>
      <c r="O438" t="s">
        <v>1333</v>
      </c>
      <c r="P438" t="b">
        <f t="shared" si="28"/>
        <v>0</v>
      </c>
    </row>
    <row r="439" spans="1:16" x14ac:dyDescent="0.25">
      <c r="A439">
        <v>438</v>
      </c>
      <c r="B439" t="s">
        <v>1334</v>
      </c>
      <c r="C439">
        <v>-1962</v>
      </c>
      <c r="D439" t="s">
        <v>24</v>
      </c>
      <c r="E439" t="s">
        <v>356</v>
      </c>
      <c r="F439" t="s">
        <v>1011</v>
      </c>
      <c r="G439">
        <v>8</v>
      </c>
      <c r="I439" t="s">
        <v>1335</v>
      </c>
      <c r="J439" s="3">
        <v>32884</v>
      </c>
      <c r="K439" s="3" t="str">
        <f t="shared" si="29"/>
        <v>Maybe</v>
      </c>
      <c r="L439" s="3" t="str">
        <f t="shared" si="26"/>
        <v>Maybe</v>
      </c>
      <c r="M439" s="3"/>
      <c r="N439" s="3" t="str">
        <f t="shared" si="27"/>
        <v>Maybe</v>
      </c>
      <c r="P439" t="b">
        <f t="shared" si="28"/>
        <v>0</v>
      </c>
    </row>
    <row r="440" spans="1:16" x14ac:dyDescent="0.25">
      <c r="A440">
        <v>439</v>
      </c>
      <c r="B440" t="s">
        <v>1336</v>
      </c>
      <c r="C440">
        <v>-1962</v>
      </c>
      <c r="D440">
        <v>18</v>
      </c>
      <c r="E440" t="s">
        <v>331</v>
      </c>
      <c r="F440" t="s">
        <v>1337</v>
      </c>
      <c r="G440">
        <v>8</v>
      </c>
      <c r="H440">
        <v>75</v>
      </c>
      <c r="I440" t="s">
        <v>1338</v>
      </c>
      <c r="J440" s="3">
        <v>55412</v>
      </c>
      <c r="K440" s="3" t="str">
        <f t="shared" si="29"/>
        <v>Maybe</v>
      </c>
      <c r="L440" s="3" t="str">
        <f t="shared" si="26"/>
        <v>Maybe</v>
      </c>
      <c r="M440" s="3"/>
      <c r="N440" s="3" t="str">
        <f t="shared" si="27"/>
        <v>Maybe</v>
      </c>
      <c r="O440" t="s">
        <v>1339</v>
      </c>
      <c r="P440" t="b">
        <f t="shared" si="28"/>
        <v>0</v>
      </c>
    </row>
    <row r="441" spans="1:16" x14ac:dyDescent="0.25">
      <c r="A441">
        <v>440</v>
      </c>
      <c r="B441" t="s">
        <v>1340</v>
      </c>
      <c r="C441">
        <v>-1962</v>
      </c>
      <c r="D441" t="s">
        <v>155</v>
      </c>
      <c r="E441" t="s">
        <v>50</v>
      </c>
      <c r="F441" t="s">
        <v>676</v>
      </c>
      <c r="G441">
        <v>8</v>
      </c>
      <c r="I441" t="s">
        <v>157</v>
      </c>
      <c r="J441" s="3">
        <v>37930</v>
      </c>
      <c r="K441" s="3" t="str">
        <f t="shared" si="29"/>
        <v>Maybe</v>
      </c>
      <c r="L441" s="3" t="str">
        <f t="shared" si="26"/>
        <v>Maybe</v>
      </c>
      <c r="M441" s="3"/>
      <c r="N441" s="3" t="str">
        <f t="shared" si="27"/>
        <v>Maybe</v>
      </c>
      <c r="P441" t="b">
        <f t="shared" si="28"/>
        <v>0</v>
      </c>
    </row>
    <row r="442" spans="1:16" x14ac:dyDescent="0.25">
      <c r="A442">
        <v>441</v>
      </c>
      <c r="B442" t="s">
        <v>1341</v>
      </c>
      <c r="C442">
        <v>-1962</v>
      </c>
      <c r="D442" t="s">
        <v>155</v>
      </c>
      <c r="E442" t="s">
        <v>356</v>
      </c>
      <c r="F442" t="s">
        <v>124</v>
      </c>
      <c r="G442">
        <v>8</v>
      </c>
      <c r="I442" t="s">
        <v>957</v>
      </c>
      <c r="J442" s="3">
        <v>36169</v>
      </c>
      <c r="K442" s="3" t="str">
        <f t="shared" si="29"/>
        <v>Maybe</v>
      </c>
      <c r="L442" s="3" t="str">
        <f t="shared" si="26"/>
        <v>Maybe</v>
      </c>
      <c r="M442" s="3"/>
      <c r="N442" s="3" t="str">
        <f t="shared" si="27"/>
        <v>Maybe</v>
      </c>
      <c r="P442" t="b">
        <f t="shared" si="28"/>
        <v>0</v>
      </c>
    </row>
    <row r="443" spans="1:16" x14ac:dyDescent="0.25">
      <c r="A443">
        <v>442</v>
      </c>
      <c r="B443" t="s">
        <v>1342</v>
      </c>
      <c r="C443">
        <v>-1961</v>
      </c>
      <c r="D443" t="s">
        <v>24</v>
      </c>
      <c r="E443" t="s">
        <v>331</v>
      </c>
      <c r="F443" t="s">
        <v>842</v>
      </c>
      <c r="G443">
        <v>8</v>
      </c>
      <c r="H443">
        <v>90</v>
      </c>
      <c r="I443" t="s">
        <v>1343</v>
      </c>
      <c r="J443" s="3">
        <v>81396</v>
      </c>
      <c r="K443" s="3" t="str">
        <f t="shared" si="29"/>
        <v>Maybe</v>
      </c>
      <c r="L443" s="3" t="str">
        <f t="shared" si="26"/>
        <v>Maybe</v>
      </c>
      <c r="M443" s="3"/>
      <c r="N443" s="3" t="str">
        <f t="shared" si="27"/>
        <v>Maybe</v>
      </c>
      <c r="O443" t="s">
        <v>1344</v>
      </c>
      <c r="P443" t="b">
        <f t="shared" si="28"/>
        <v>0</v>
      </c>
    </row>
    <row r="444" spans="1:16" x14ac:dyDescent="0.25">
      <c r="A444">
        <v>443</v>
      </c>
      <c r="B444" t="s">
        <v>1345</v>
      </c>
      <c r="C444">
        <v>-1960</v>
      </c>
      <c r="D444" t="s">
        <v>24</v>
      </c>
      <c r="E444" t="s">
        <v>880</v>
      </c>
      <c r="F444" t="s">
        <v>304</v>
      </c>
      <c r="G444">
        <v>8</v>
      </c>
      <c r="H444">
        <v>95</v>
      </c>
      <c r="I444" t="s">
        <v>1013</v>
      </c>
      <c r="J444" s="3">
        <v>72469</v>
      </c>
      <c r="K444" s="3" t="str">
        <f t="shared" si="29"/>
        <v>Maybe</v>
      </c>
      <c r="L444" s="3" t="str">
        <f t="shared" si="26"/>
        <v>Maybe</v>
      </c>
      <c r="M444" s="3"/>
      <c r="N444" s="3" t="str">
        <f t="shared" si="27"/>
        <v>Maybe</v>
      </c>
      <c r="O444" t="s">
        <v>1346</v>
      </c>
      <c r="P444" t="b">
        <f t="shared" si="28"/>
        <v>0</v>
      </c>
    </row>
    <row r="445" spans="1:16" x14ac:dyDescent="0.25">
      <c r="A445">
        <v>444</v>
      </c>
      <c r="B445" t="s">
        <v>1347</v>
      </c>
      <c r="C445">
        <v>-1959</v>
      </c>
      <c r="D445" t="s">
        <v>74</v>
      </c>
      <c r="E445" t="s">
        <v>163</v>
      </c>
      <c r="F445" t="s">
        <v>238</v>
      </c>
      <c r="G445">
        <v>8</v>
      </c>
      <c r="H445">
        <v>93</v>
      </c>
      <c r="I445" t="s">
        <v>1348</v>
      </c>
      <c r="J445" s="3">
        <v>61951</v>
      </c>
      <c r="K445" s="3" t="str">
        <f t="shared" si="29"/>
        <v>Maybe</v>
      </c>
      <c r="L445" s="3" t="str">
        <f t="shared" si="26"/>
        <v>Maybe</v>
      </c>
      <c r="M445" s="3"/>
      <c r="N445" s="3" t="str">
        <f t="shared" si="27"/>
        <v>Maybe</v>
      </c>
      <c r="O445" t="s">
        <v>1349</v>
      </c>
      <c r="P445" t="b">
        <f t="shared" si="28"/>
        <v>0</v>
      </c>
    </row>
    <row r="446" spans="1:16" x14ac:dyDescent="0.25">
      <c r="A446">
        <v>445</v>
      </c>
      <c r="B446" t="s">
        <v>1350</v>
      </c>
      <c r="C446">
        <v>-1959</v>
      </c>
      <c r="D446" t="s">
        <v>24</v>
      </c>
      <c r="E446" t="s">
        <v>376</v>
      </c>
      <c r="F446" t="s">
        <v>389</v>
      </c>
      <c r="G446">
        <v>8</v>
      </c>
      <c r="H446">
        <v>95</v>
      </c>
      <c r="I446" t="s">
        <v>1351</v>
      </c>
      <c r="J446" s="3">
        <v>65870</v>
      </c>
      <c r="K446" s="3" t="str">
        <f t="shared" si="29"/>
        <v>Maybe</v>
      </c>
      <c r="L446" s="3" t="str">
        <f t="shared" si="26"/>
        <v>Maybe</v>
      </c>
      <c r="M446" s="3"/>
      <c r="N446" s="3" t="str">
        <f t="shared" si="27"/>
        <v>Maybe</v>
      </c>
      <c r="O446" t="s">
        <v>1352</v>
      </c>
      <c r="P446" t="b">
        <f t="shared" si="28"/>
        <v>0</v>
      </c>
    </row>
    <row r="447" spans="1:16" x14ac:dyDescent="0.25">
      <c r="A447">
        <v>446</v>
      </c>
      <c r="B447" t="s">
        <v>1353</v>
      </c>
      <c r="C447">
        <v>-1958</v>
      </c>
      <c r="D447" t="s">
        <v>155</v>
      </c>
      <c r="E447" t="s">
        <v>356</v>
      </c>
      <c r="F447" t="s">
        <v>494</v>
      </c>
      <c r="G447">
        <v>8</v>
      </c>
      <c r="H447">
        <v>99</v>
      </c>
      <c r="I447" t="s">
        <v>497</v>
      </c>
      <c r="J447" s="3">
        <v>103820</v>
      </c>
      <c r="K447" s="3" t="str">
        <f t="shared" si="29"/>
        <v>Maybe</v>
      </c>
      <c r="L447" s="3" t="str">
        <f t="shared" si="26"/>
        <v>Maybe</v>
      </c>
      <c r="M447" s="3"/>
      <c r="N447" s="3" t="str">
        <f t="shared" si="27"/>
        <v>Maybe</v>
      </c>
      <c r="O447" t="s">
        <v>1354</v>
      </c>
      <c r="P447" t="b">
        <f t="shared" si="28"/>
        <v>0</v>
      </c>
    </row>
    <row r="448" spans="1:16" x14ac:dyDescent="0.25">
      <c r="A448">
        <v>447</v>
      </c>
      <c r="B448" t="s">
        <v>1355</v>
      </c>
      <c r="C448">
        <v>-1957</v>
      </c>
      <c r="D448" t="s">
        <v>155</v>
      </c>
      <c r="E448" t="s">
        <v>50</v>
      </c>
      <c r="F448" t="s">
        <v>364</v>
      </c>
      <c r="G448">
        <v>8</v>
      </c>
      <c r="H448">
        <v>100</v>
      </c>
      <c r="I448" t="s">
        <v>1356</v>
      </c>
      <c r="J448" s="3">
        <v>31683</v>
      </c>
      <c r="K448" s="3" t="str">
        <f t="shared" si="29"/>
        <v>Maybe</v>
      </c>
      <c r="L448" s="3" t="str">
        <f t="shared" si="26"/>
        <v>Maybe</v>
      </c>
      <c r="M448" s="3"/>
      <c r="N448" s="3" t="str">
        <f t="shared" si="27"/>
        <v>Maybe</v>
      </c>
      <c r="P448" t="b">
        <f t="shared" si="28"/>
        <v>0</v>
      </c>
    </row>
    <row r="449" spans="1:16" x14ac:dyDescent="0.25">
      <c r="A449">
        <v>448</v>
      </c>
      <c r="B449" t="s">
        <v>1357</v>
      </c>
      <c r="C449">
        <v>-1956</v>
      </c>
      <c r="D449" t="s">
        <v>155</v>
      </c>
      <c r="E449" t="s">
        <v>1251</v>
      </c>
      <c r="F449" t="s">
        <v>494</v>
      </c>
      <c r="G449">
        <v>8</v>
      </c>
      <c r="H449">
        <v>91</v>
      </c>
      <c r="I449" t="s">
        <v>351</v>
      </c>
      <c r="J449" s="3">
        <v>88932</v>
      </c>
      <c r="K449" s="3" t="str">
        <f t="shared" si="29"/>
        <v>Maybe</v>
      </c>
      <c r="L449" s="3" t="str">
        <f t="shared" si="26"/>
        <v>Maybe</v>
      </c>
      <c r="M449" s="3"/>
      <c r="N449" s="3" t="str">
        <f t="shared" si="27"/>
        <v>Maybe</v>
      </c>
      <c r="P449" t="b">
        <f t="shared" si="28"/>
        <v>0</v>
      </c>
    </row>
    <row r="450" spans="1:16" x14ac:dyDescent="0.25">
      <c r="A450">
        <v>449</v>
      </c>
      <c r="B450" t="s">
        <v>1358</v>
      </c>
      <c r="C450">
        <v>-1955</v>
      </c>
      <c r="D450" t="s">
        <v>24</v>
      </c>
      <c r="E450" t="s">
        <v>827</v>
      </c>
      <c r="F450" t="s">
        <v>494</v>
      </c>
      <c r="G450">
        <v>8</v>
      </c>
      <c r="H450">
        <v>99</v>
      </c>
      <c r="I450" t="s">
        <v>1359</v>
      </c>
      <c r="J450" s="3">
        <v>88659</v>
      </c>
      <c r="K450" s="3" t="str">
        <f t="shared" si="29"/>
        <v>Maybe</v>
      </c>
      <c r="L450" s="3" t="str">
        <f t="shared" si="26"/>
        <v>Maybe</v>
      </c>
      <c r="M450" s="3"/>
      <c r="N450" s="3" t="str">
        <f t="shared" si="27"/>
        <v>Maybe</v>
      </c>
      <c r="O450" t="s">
        <v>1360</v>
      </c>
      <c r="P450" t="b">
        <f t="shared" si="28"/>
        <v>0</v>
      </c>
    </row>
    <row r="451" spans="1:16" x14ac:dyDescent="0.25">
      <c r="A451">
        <v>450</v>
      </c>
      <c r="B451" t="s">
        <v>1361</v>
      </c>
      <c r="C451">
        <v>-1954</v>
      </c>
      <c r="D451" t="s">
        <v>155</v>
      </c>
      <c r="E451" t="s">
        <v>409</v>
      </c>
      <c r="F451" t="s">
        <v>20</v>
      </c>
      <c r="G451">
        <v>8</v>
      </c>
      <c r="I451" t="s">
        <v>1013</v>
      </c>
      <c r="J451" s="3">
        <v>62797</v>
      </c>
      <c r="K451" s="3" t="str">
        <f t="shared" si="29"/>
        <v>Maybe</v>
      </c>
      <c r="L451" s="3" t="str">
        <f t="shared" ref="L451:L514" si="30">IF(G451=9,"Must Watch",IF(G451=8,"Maybe","Don't Watch"))</f>
        <v>Maybe</v>
      </c>
      <c r="M451" s="3"/>
      <c r="N451" s="3" t="str">
        <f t="shared" ref="N451:N514" si="31">IF(I451="Billy Wilder", "Must Watch", IF(I451="John Ford", "Watch", "Maybe"))</f>
        <v>Maybe</v>
      </c>
      <c r="P451" t="b">
        <f t="shared" ref="P451:P514" si="32">ISNUMBER(B:B)</f>
        <v>0</v>
      </c>
    </row>
    <row r="452" spans="1:16" x14ac:dyDescent="0.25">
      <c r="A452">
        <v>451</v>
      </c>
      <c r="B452" t="s">
        <v>1362</v>
      </c>
      <c r="C452">
        <v>-1953</v>
      </c>
      <c r="D452" t="s">
        <v>155</v>
      </c>
      <c r="E452" t="s">
        <v>811</v>
      </c>
      <c r="F452" t="s">
        <v>366</v>
      </c>
      <c r="G452">
        <v>8</v>
      </c>
      <c r="H452">
        <v>84</v>
      </c>
      <c r="I452" t="s">
        <v>360</v>
      </c>
      <c r="J452" s="3">
        <v>55562</v>
      </c>
      <c r="K452" s="3" t="str">
        <f t="shared" si="29"/>
        <v>Maybe</v>
      </c>
      <c r="L452" s="3" t="str">
        <f t="shared" si="30"/>
        <v>Maybe</v>
      </c>
      <c r="M452" s="3"/>
      <c r="N452" s="3" t="str">
        <f t="shared" si="31"/>
        <v>Must Watch</v>
      </c>
      <c r="P452" t="b">
        <f t="shared" si="32"/>
        <v>0</v>
      </c>
    </row>
    <row r="453" spans="1:16" x14ac:dyDescent="0.25">
      <c r="A453">
        <v>452</v>
      </c>
      <c r="B453" t="s">
        <v>1363</v>
      </c>
      <c r="C453">
        <v>-1953</v>
      </c>
      <c r="D453" t="s">
        <v>49</v>
      </c>
      <c r="E453" t="s">
        <v>143</v>
      </c>
      <c r="F453" t="s">
        <v>414</v>
      </c>
      <c r="G453">
        <v>8</v>
      </c>
      <c r="H453">
        <v>78</v>
      </c>
      <c r="I453" t="s">
        <v>1006</v>
      </c>
      <c r="J453" s="3">
        <v>137222</v>
      </c>
      <c r="K453" s="3" t="str">
        <f t="shared" si="29"/>
        <v>Maybe</v>
      </c>
      <c r="L453" s="3" t="str">
        <f t="shared" si="30"/>
        <v>Maybe</v>
      </c>
      <c r="M453" s="3"/>
      <c r="N453" s="3" t="str">
        <f t="shared" si="31"/>
        <v>Maybe</v>
      </c>
      <c r="P453" t="b">
        <f t="shared" si="32"/>
        <v>0</v>
      </c>
    </row>
    <row r="454" spans="1:16" x14ac:dyDescent="0.25">
      <c r="A454">
        <v>453</v>
      </c>
      <c r="B454" t="s">
        <v>1364</v>
      </c>
      <c r="C454">
        <v>-1952</v>
      </c>
      <c r="D454" t="s">
        <v>49</v>
      </c>
      <c r="E454" t="s">
        <v>991</v>
      </c>
      <c r="F454" t="s">
        <v>1365</v>
      </c>
      <c r="G454">
        <v>8</v>
      </c>
      <c r="H454">
        <v>89</v>
      </c>
      <c r="I454" t="s">
        <v>1366</v>
      </c>
      <c r="J454" s="3">
        <v>103513</v>
      </c>
      <c r="K454" s="3" t="str">
        <f t="shared" si="29"/>
        <v>Maybe</v>
      </c>
      <c r="L454" s="3" t="str">
        <f t="shared" si="30"/>
        <v>Maybe</v>
      </c>
      <c r="M454" s="3"/>
      <c r="N454" s="3" t="str">
        <f t="shared" si="31"/>
        <v>Maybe</v>
      </c>
      <c r="O454" t="s">
        <v>1367</v>
      </c>
      <c r="P454" t="b">
        <f t="shared" si="32"/>
        <v>0</v>
      </c>
    </row>
    <row r="455" spans="1:16" x14ac:dyDescent="0.25">
      <c r="A455">
        <v>454</v>
      </c>
      <c r="B455" t="s">
        <v>1368</v>
      </c>
      <c r="C455">
        <v>-1949</v>
      </c>
      <c r="D455" t="s">
        <v>49</v>
      </c>
      <c r="E455" t="s">
        <v>171</v>
      </c>
      <c r="F455" t="s">
        <v>419</v>
      </c>
      <c r="G455">
        <v>8</v>
      </c>
      <c r="I455" t="s">
        <v>1369</v>
      </c>
      <c r="J455" s="3">
        <v>37190</v>
      </c>
      <c r="K455" s="3" t="str">
        <f t="shared" ref="K455:K518" si="33">IF(G455&lt;7.9, "Don't Watch", IF(G455&gt;8, "Must Watch", "Maybe"))</f>
        <v>Maybe</v>
      </c>
      <c r="L455" s="3" t="str">
        <f t="shared" si="30"/>
        <v>Maybe</v>
      </c>
      <c r="M455" s="3"/>
      <c r="N455" s="3" t="str">
        <f t="shared" si="31"/>
        <v>Maybe</v>
      </c>
      <c r="P455" t="b">
        <f t="shared" si="32"/>
        <v>0</v>
      </c>
    </row>
    <row r="456" spans="1:16" x14ac:dyDescent="0.25">
      <c r="A456">
        <v>455</v>
      </c>
      <c r="B456" t="s">
        <v>1370</v>
      </c>
      <c r="C456">
        <v>-1947</v>
      </c>
      <c r="D456" t="s">
        <v>155</v>
      </c>
      <c r="E456" t="s">
        <v>576</v>
      </c>
      <c r="F456" t="s">
        <v>494</v>
      </c>
      <c r="G456">
        <v>8</v>
      </c>
      <c r="I456" t="s">
        <v>1371</v>
      </c>
      <c r="J456" s="3">
        <v>36920</v>
      </c>
      <c r="K456" s="3" t="str">
        <f t="shared" si="33"/>
        <v>Maybe</v>
      </c>
      <c r="L456" s="3" t="str">
        <f t="shared" si="30"/>
        <v>Maybe</v>
      </c>
      <c r="M456" s="3"/>
      <c r="N456" s="3" t="str">
        <f t="shared" si="31"/>
        <v>Maybe</v>
      </c>
      <c r="P456" t="b">
        <f t="shared" si="32"/>
        <v>0</v>
      </c>
    </row>
    <row r="457" spans="1:16" x14ac:dyDescent="0.25">
      <c r="A457">
        <v>456</v>
      </c>
      <c r="B457" t="s">
        <v>1372</v>
      </c>
      <c r="C457">
        <v>-1945</v>
      </c>
      <c r="D457" t="s">
        <v>155</v>
      </c>
      <c r="E457" t="s">
        <v>403</v>
      </c>
      <c r="F457" t="s">
        <v>441</v>
      </c>
      <c r="G457">
        <v>8</v>
      </c>
      <c r="I457" t="s">
        <v>1373</v>
      </c>
      <c r="J457" s="3">
        <v>26374</v>
      </c>
      <c r="K457" s="3" t="str">
        <f t="shared" si="33"/>
        <v>Maybe</v>
      </c>
      <c r="L457" s="3" t="str">
        <f t="shared" si="30"/>
        <v>Maybe</v>
      </c>
      <c r="M457" s="3"/>
      <c r="N457" s="3" t="str">
        <f t="shared" si="31"/>
        <v>Maybe</v>
      </c>
      <c r="P457" t="b">
        <f t="shared" si="32"/>
        <v>0</v>
      </c>
    </row>
    <row r="458" spans="1:16" x14ac:dyDescent="0.25">
      <c r="A458">
        <v>457</v>
      </c>
      <c r="B458" t="s">
        <v>1374</v>
      </c>
      <c r="C458">
        <v>-1945</v>
      </c>
      <c r="D458" t="s">
        <v>155</v>
      </c>
      <c r="E458" t="s">
        <v>610</v>
      </c>
      <c r="F458" t="s">
        <v>494</v>
      </c>
      <c r="G458">
        <v>8</v>
      </c>
      <c r="H458">
        <v>88</v>
      </c>
      <c r="I458" t="s">
        <v>251</v>
      </c>
      <c r="J458" s="3">
        <v>25737</v>
      </c>
      <c r="K458" s="3" t="str">
        <f t="shared" si="33"/>
        <v>Maybe</v>
      </c>
      <c r="L458" s="3" t="str">
        <f t="shared" si="30"/>
        <v>Maybe</v>
      </c>
      <c r="M458" s="3"/>
      <c r="N458" s="3" t="str">
        <f t="shared" si="31"/>
        <v>Maybe</v>
      </c>
      <c r="P458" t="b">
        <f t="shared" si="32"/>
        <v>0</v>
      </c>
    </row>
    <row r="459" spans="1:16" x14ac:dyDescent="0.25">
      <c r="A459">
        <v>458</v>
      </c>
      <c r="B459" t="s">
        <v>1375</v>
      </c>
      <c r="C459">
        <v>-1945</v>
      </c>
      <c r="D459" t="s">
        <v>155</v>
      </c>
      <c r="E459" t="s">
        <v>890</v>
      </c>
      <c r="F459" t="s">
        <v>78</v>
      </c>
      <c r="G459">
        <v>8</v>
      </c>
      <c r="H459">
        <v>92</v>
      </c>
      <c r="I459" t="s">
        <v>467</v>
      </c>
      <c r="J459" s="3">
        <v>39851</v>
      </c>
      <c r="K459" s="3" t="str">
        <f t="shared" si="33"/>
        <v>Maybe</v>
      </c>
      <c r="L459" s="3" t="str">
        <f t="shared" si="30"/>
        <v>Maybe</v>
      </c>
      <c r="M459" s="3"/>
      <c r="N459" s="3" t="str">
        <f t="shared" si="31"/>
        <v>Maybe</v>
      </c>
      <c r="P459" t="b">
        <f t="shared" si="32"/>
        <v>0</v>
      </c>
    </row>
    <row r="460" spans="1:16" x14ac:dyDescent="0.25">
      <c r="A460">
        <v>459</v>
      </c>
      <c r="B460" t="s">
        <v>1376</v>
      </c>
      <c r="C460">
        <v>-1941</v>
      </c>
      <c r="D460" t="s">
        <v>155</v>
      </c>
      <c r="E460" t="s">
        <v>613</v>
      </c>
      <c r="F460" t="s">
        <v>1377</v>
      </c>
      <c r="G460">
        <v>8</v>
      </c>
      <c r="H460">
        <v>97</v>
      </c>
      <c r="I460" t="s">
        <v>698</v>
      </c>
      <c r="J460" s="3">
        <v>157276</v>
      </c>
      <c r="K460" s="3" t="str">
        <f t="shared" si="33"/>
        <v>Maybe</v>
      </c>
      <c r="L460" s="3" t="str">
        <f t="shared" si="30"/>
        <v>Maybe</v>
      </c>
      <c r="M460" s="3"/>
      <c r="N460" s="3" t="str">
        <f t="shared" si="31"/>
        <v>Maybe</v>
      </c>
      <c r="O460" t="s">
        <v>1378</v>
      </c>
      <c r="P460" t="b">
        <f t="shared" si="32"/>
        <v>0</v>
      </c>
    </row>
    <row r="461" spans="1:16" x14ac:dyDescent="0.25">
      <c r="A461">
        <v>460</v>
      </c>
      <c r="B461" t="s">
        <v>1379</v>
      </c>
      <c r="C461">
        <v>-1925</v>
      </c>
      <c r="D461" t="s">
        <v>1380</v>
      </c>
      <c r="E461" t="s">
        <v>1381</v>
      </c>
      <c r="F461" t="s">
        <v>1248</v>
      </c>
      <c r="G461">
        <v>8</v>
      </c>
      <c r="H461">
        <v>97</v>
      </c>
      <c r="I461" t="s">
        <v>1382</v>
      </c>
      <c r="J461" s="3">
        <v>57282</v>
      </c>
      <c r="K461" s="3" t="str">
        <f t="shared" si="33"/>
        <v>Maybe</v>
      </c>
      <c r="L461" s="3" t="str">
        <f t="shared" si="30"/>
        <v>Maybe</v>
      </c>
      <c r="M461" s="3"/>
      <c r="N461" s="3" t="str">
        <f t="shared" si="31"/>
        <v>Maybe</v>
      </c>
      <c r="O461" t="s">
        <v>1333</v>
      </c>
      <c r="P461" t="b">
        <f t="shared" si="32"/>
        <v>0</v>
      </c>
    </row>
    <row r="462" spans="1:16" x14ac:dyDescent="0.25">
      <c r="A462">
        <v>461</v>
      </c>
      <c r="B462" t="s">
        <v>1383</v>
      </c>
      <c r="C462">
        <v>-1920</v>
      </c>
      <c r="D462" t="s">
        <v>155</v>
      </c>
      <c r="E462" t="s">
        <v>1384</v>
      </c>
      <c r="F462" t="s">
        <v>242</v>
      </c>
      <c r="G462">
        <v>8</v>
      </c>
      <c r="I462" t="s">
        <v>1385</v>
      </c>
      <c r="J462" s="3">
        <v>62956</v>
      </c>
      <c r="K462" s="3" t="str">
        <f t="shared" si="33"/>
        <v>Maybe</v>
      </c>
      <c r="L462" s="3" t="str">
        <f t="shared" si="30"/>
        <v>Maybe</v>
      </c>
      <c r="M462" s="3"/>
      <c r="N462" s="3" t="str">
        <f t="shared" si="31"/>
        <v>Maybe</v>
      </c>
      <c r="P462" t="b">
        <f t="shared" si="32"/>
        <v>0</v>
      </c>
    </row>
    <row r="463" spans="1:16" x14ac:dyDescent="0.25">
      <c r="A463">
        <v>462</v>
      </c>
      <c r="B463" t="s">
        <v>1386</v>
      </c>
      <c r="C463">
        <v>-2019</v>
      </c>
      <c r="D463" t="s">
        <v>30</v>
      </c>
      <c r="E463" t="s">
        <v>108</v>
      </c>
      <c r="F463" t="s">
        <v>453</v>
      </c>
      <c r="G463">
        <v>7.9</v>
      </c>
      <c r="H463">
        <v>82</v>
      </c>
      <c r="I463" t="s">
        <v>1387</v>
      </c>
      <c r="J463" s="3">
        <v>596622</v>
      </c>
      <c r="K463" s="3" t="str">
        <f t="shared" si="33"/>
        <v>Maybe</v>
      </c>
      <c r="L463" s="3" t="str">
        <f t="shared" si="30"/>
        <v>Don't Watch</v>
      </c>
      <c r="M463" s="3"/>
      <c r="N463" s="3" t="str">
        <f t="shared" si="31"/>
        <v>Maybe</v>
      </c>
      <c r="O463" t="s">
        <v>1388</v>
      </c>
      <c r="P463" t="b">
        <f t="shared" si="32"/>
        <v>0</v>
      </c>
    </row>
    <row r="464" spans="1:16" x14ac:dyDescent="0.25">
      <c r="A464">
        <v>463</v>
      </c>
      <c r="B464" t="s">
        <v>1389</v>
      </c>
      <c r="C464">
        <v>-2018</v>
      </c>
      <c r="D464">
        <v>15</v>
      </c>
      <c r="E464" t="s">
        <v>148</v>
      </c>
      <c r="F464" t="s">
        <v>26</v>
      </c>
      <c r="G464">
        <v>7.9</v>
      </c>
      <c r="H464">
        <v>93</v>
      </c>
      <c r="I464" t="s">
        <v>1157</v>
      </c>
      <c r="J464" s="3">
        <v>74558</v>
      </c>
      <c r="K464" s="3" t="str">
        <f t="shared" si="33"/>
        <v>Maybe</v>
      </c>
      <c r="L464" s="3" t="str">
        <f t="shared" si="30"/>
        <v>Don't Watch</v>
      </c>
      <c r="M464" s="3"/>
      <c r="N464" s="3" t="str">
        <f t="shared" si="31"/>
        <v>Maybe</v>
      </c>
      <c r="O464" t="s">
        <v>1390</v>
      </c>
      <c r="P464" t="b">
        <f t="shared" si="32"/>
        <v>0</v>
      </c>
    </row>
    <row r="465" spans="1:16" x14ac:dyDescent="0.25">
      <c r="A465">
        <v>464</v>
      </c>
      <c r="B465" t="s">
        <v>1391</v>
      </c>
      <c r="C465">
        <v>-2019</v>
      </c>
      <c r="D465">
        <v>15</v>
      </c>
      <c r="E465" t="s">
        <v>139</v>
      </c>
      <c r="F465" t="s">
        <v>78</v>
      </c>
      <c r="G465">
        <v>7.9</v>
      </c>
      <c r="H465">
        <v>94</v>
      </c>
      <c r="I465" t="s">
        <v>1392</v>
      </c>
      <c r="J465" s="3">
        <v>297423</v>
      </c>
      <c r="K465" s="3" t="str">
        <f t="shared" si="33"/>
        <v>Maybe</v>
      </c>
      <c r="L465" s="3" t="str">
        <f t="shared" si="30"/>
        <v>Don't Watch</v>
      </c>
      <c r="M465" s="3"/>
      <c r="N465" s="3" t="str">
        <f t="shared" si="31"/>
        <v>Maybe</v>
      </c>
      <c r="O465" t="s">
        <v>1393</v>
      </c>
      <c r="P465" t="b">
        <f t="shared" si="32"/>
        <v>0</v>
      </c>
    </row>
    <row r="466" spans="1:16" x14ac:dyDescent="0.25">
      <c r="A466">
        <v>465</v>
      </c>
      <c r="B466" t="s">
        <v>1394</v>
      </c>
      <c r="C466">
        <v>-2019</v>
      </c>
      <c r="D466" t="s">
        <v>30</v>
      </c>
      <c r="E466" t="s">
        <v>59</v>
      </c>
      <c r="F466" t="s">
        <v>606</v>
      </c>
      <c r="G466">
        <v>7.9</v>
      </c>
      <c r="I466" t="s">
        <v>750</v>
      </c>
      <c r="J466" s="3">
        <v>30312</v>
      </c>
      <c r="K466" s="3" t="str">
        <f t="shared" si="33"/>
        <v>Maybe</v>
      </c>
      <c r="L466" s="3" t="str">
        <f t="shared" si="30"/>
        <v>Don't Watch</v>
      </c>
      <c r="M466" s="3"/>
      <c r="N466" s="3" t="str">
        <f t="shared" si="31"/>
        <v>Maybe</v>
      </c>
      <c r="O466" t="s">
        <v>1395</v>
      </c>
      <c r="P466" t="b">
        <f t="shared" si="32"/>
        <v>0</v>
      </c>
    </row>
    <row r="467" spans="1:16" x14ac:dyDescent="0.25">
      <c r="A467">
        <v>466</v>
      </c>
      <c r="B467" t="s">
        <v>1396</v>
      </c>
      <c r="C467">
        <v>-2018</v>
      </c>
      <c r="D467" t="s">
        <v>30</v>
      </c>
      <c r="E467" t="s">
        <v>561</v>
      </c>
      <c r="F467" t="s">
        <v>177</v>
      </c>
      <c r="G467">
        <v>7.9</v>
      </c>
      <c r="I467" t="s">
        <v>1397</v>
      </c>
      <c r="J467" s="3">
        <v>25640</v>
      </c>
      <c r="K467" s="3" t="str">
        <f t="shared" si="33"/>
        <v>Maybe</v>
      </c>
      <c r="L467" s="3" t="str">
        <f t="shared" si="30"/>
        <v>Don't Watch</v>
      </c>
      <c r="M467" s="3"/>
      <c r="N467" s="3" t="str">
        <f t="shared" si="31"/>
        <v>Maybe</v>
      </c>
      <c r="O467" t="s">
        <v>265</v>
      </c>
      <c r="P467" t="b">
        <f t="shared" si="32"/>
        <v>0</v>
      </c>
    </row>
    <row r="468" spans="1:16" x14ac:dyDescent="0.25">
      <c r="A468">
        <v>467</v>
      </c>
      <c r="B468" t="s">
        <v>1398</v>
      </c>
      <c r="C468">
        <v>-2019</v>
      </c>
      <c r="D468" t="s">
        <v>740</v>
      </c>
      <c r="E468" t="s">
        <v>325</v>
      </c>
      <c r="F468" t="s">
        <v>466</v>
      </c>
      <c r="G468">
        <v>7.9</v>
      </c>
      <c r="H468">
        <v>69</v>
      </c>
      <c r="I468" t="s">
        <v>1399</v>
      </c>
      <c r="J468" s="3">
        <v>47611</v>
      </c>
      <c r="K468" s="3" t="str">
        <f t="shared" si="33"/>
        <v>Maybe</v>
      </c>
      <c r="L468" s="3" t="str">
        <f t="shared" si="30"/>
        <v>Don't Watch</v>
      </c>
      <c r="M468" s="3"/>
      <c r="N468" s="3" t="str">
        <f t="shared" si="31"/>
        <v>Maybe</v>
      </c>
      <c r="P468" t="b">
        <f t="shared" si="32"/>
        <v>0</v>
      </c>
    </row>
    <row r="469" spans="1:16" x14ac:dyDescent="0.25">
      <c r="A469">
        <v>468</v>
      </c>
      <c r="B469" t="s">
        <v>1400</v>
      </c>
      <c r="C469">
        <v>-2016</v>
      </c>
      <c r="D469" t="s">
        <v>30</v>
      </c>
      <c r="E469" t="s">
        <v>108</v>
      </c>
      <c r="F469" t="s">
        <v>516</v>
      </c>
      <c r="G469">
        <v>7.9</v>
      </c>
      <c r="I469" t="s">
        <v>1401</v>
      </c>
      <c r="J469" s="3">
        <v>56643</v>
      </c>
      <c r="K469" s="3" t="str">
        <f t="shared" si="33"/>
        <v>Maybe</v>
      </c>
      <c r="L469" s="3" t="str">
        <f t="shared" si="30"/>
        <v>Don't Watch</v>
      </c>
      <c r="M469" s="3"/>
      <c r="N469" s="3" t="str">
        <f t="shared" si="31"/>
        <v>Maybe</v>
      </c>
      <c r="P469" t="b">
        <f t="shared" si="32"/>
        <v>0</v>
      </c>
    </row>
    <row r="470" spans="1:16" x14ac:dyDescent="0.25">
      <c r="A470">
        <v>469</v>
      </c>
      <c r="B470" t="s">
        <v>1402</v>
      </c>
      <c r="C470">
        <v>-2016</v>
      </c>
      <c r="D470" t="s">
        <v>74</v>
      </c>
      <c r="E470" t="s">
        <v>1403</v>
      </c>
      <c r="F470" t="s">
        <v>542</v>
      </c>
      <c r="G470">
        <v>7.9</v>
      </c>
      <c r="I470" t="s">
        <v>815</v>
      </c>
      <c r="J470" s="3">
        <v>54623</v>
      </c>
      <c r="K470" s="3" t="str">
        <f t="shared" si="33"/>
        <v>Maybe</v>
      </c>
      <c r="L470" s="3" t="str">
        <f t="shared" si="30"/>
        <v>Don't Watch</v>
      </c>
      <c r="M470" s="3"/>
      <c r="N470" s="3" t="str">
        <f t="shared" si="31"/>
        <v>Maybe</v>
      </c>
      <c r="O470" t="s">
        <v>1404</v>
      </c>
      <c r="P470" t="b">
        <f t="shared" si="32"/>
        <v>0</v>
      </c>
    </row>
    <row r="471" spans="1:16" x14ac:dyDescent="0.25">
      <c r="A471">
        <v>470</v>
      </c>
      <c r="B471" t="s">
        <v>1405</v>
      </c>
      <c r="C471" t="s">
        <v>546</v>
      </c>
      <c r="D471">
        <v>15</v>
      </c>
      <c r="E471" t="s">
        <v>1086</v>
      </c>
      <c r="F471" t="s">
        <v>1175</v>
      </c>
      <c r="G471">
        <v>7.9</v>
      </c>
      <c r="I471" t="s">
        <v>815</v>
      </c>
      <c r="J471" s="3">
        <v>57235</v>
      </c>
      <c r="K471" s="3" t="str">
        <f t="shared" si="33"/>
        <v>Maybe</v>
      </c>
      <c r="L471" s="3" t="str">
        <f t="shared" si="30"/>
        <v>Don't Watch</v>
      </c>
      <c r="M471" s="3"/>
      <c r="N471" s="3" t="str">
        <f t="shared" si="31"/>
        <v>Maybe</v>
      </c>
      <c r="P471" t="b">
        <f t="shared" si="32"/>
        <v>0</v>
      </c>
    </row>
    <row r="472" spans="1:16" x14ac:dyDescent="0.25">
      <c r="A472">
        <v>471</v>
      </c>
      <c r="B472" t="s">
        <v>1406</v>
      </c>
      <c r="C472">
        <v>-2016</v>
      </c>
      <c r="D472" t="s">
        <v>30</v>
      </c>
      <c r="E472" t="s">
        <v>171</v>
      </c>
      <c r="F472" t="s">
        <v>1066</v>
      </c>
      <c r="G472">
        <v>7.9</v>
      </c>
      <c r="H472">
        <v>79</v>
      </c>
      <c r="I472" t="s">
        <v>1407</v>
      </c>
      <c r="J472" s="3">
        <v>92723</v>
      </c>
      <c r="K472" s="3" t="str">
        <f t="shared" si="33"/>
        <v>Maybe</v>
      </c>
      <c r="L472" s="3" t="str">
        <f t="shared" si="30"/>
        <v>Don't Watch</v>
      </c>
      <c r="M472" s="3"/>
      <c r="N472" s="3" t="str">
        <f t="shared" si="31"/>
        <v>Maybe</v>
      </c>
      <c r="O472" t="s">
        <v>1408</v>
      </c>
      <c r="P472" t="b">
        <f t="shared" si="32"/>
        <v>0</v>
      </c>
    </row>
    <row r="473" spans="1:16" x14ac:dyDescent="0.25">
      <c r="A473">
        <v>472</v>
      </c>
      <c r="B473" t="s">
        <v>1409</v>
      </c>
      <c r="C473">
        <v>-2017</v>
      </c>
      <c r="D473" t="s">
        <v>30</v>
      </c>
      <c r="E473" t="s">
        <v>108</v>
      </c>
      <c r="F473" t="s">
        <v>371</v>
      </c>
      <c r="G473">
        <v>7.9</v>
      </c>
      <c r="H473">
        <v>74</v>
      </c>
      <c r="I473" t="s">
        <v>1410</v>
      </c>
      <c r="J473" s="3">
        <v>708240</v>
      </c>
      <c r="K473" s="3" t="str">
        <f t="shared" si="33"/>
        <v>Maybe</v>
      </c>
      <c r="L473" s="3" t="str">
        <f t="shared" si="30"/>
        <v>Don't Watch</v>
      </c>
      <c r="M473" s="3"/>
      <c r="N473" s="3" t="str">
        <f t="shared" si="31"/>
        <v>Maybe</v>
      </c>
      <c r="O473" t="s">
        <v>1411</v>
      </c>
      <c r="P473" t="b">
        <f t="shared" si="32"/>
        <v>0</v>
      </c>
    </row>
    <row r="474" spans="1:16" x14ac:dyDescent="0.25">
      <c r="A474">
        <v>473</v>
      </c>
      <c r="B474" t="s">
        <v>1412</v>
      </c>
      <c r="C474">
        <v>-2019</v>
      </c>
      <c r="D474" t="s">
        <v>30</v>
      </c>
      <c r="E474" t="s">
        <v>409</v>
      </c>
      <c r="F474" t="s">
        <v>366</v>
      </c>
      <c r="G474">
        <v>7.9</v>
      </c>
      <c r="H474">
        <v>58</v>
      </c>
      <c r="I474" t="s">
        <v>1410</v>
      </c>
      <c r="J474" s="3">
        <v>372528</v>
      </c>
      <c r="K474" s="3" t="str">
        <f t="shared" si="33"/>
        <v>Maybe</v>
      </c>
      <c r="L474" s="3" t="str">
        <f t="shared" si="30"/>
        <v>Don't Watch</v>
      </c>
      <c r="M474" s="3"/>
      <c r="N474" s="3" t="str">
        <f t="shared" si="31"/>
        <v>Maybe</v>
      </c>
      <c r="O474" t="s">
        <v>1221</v>
      </c>
      <c r="P474" t="b">
        <f t="shared" si="32"/>
        <v>0</v>
      </c>
    </row>
    <row r="475" spans="1:16" x14ac:dyDescent="0.25">
      <c r="A475">
        <v>474</v>
      </c>
      <c r="B475" t="s">
        <v>1413</v>
      </c>
      <c r="C475" t="s">
        <v>290</v>
      </c>
      <c r="D475" t="s">
        <v>74</v>
      </c>
      <c r="E475" t="s">
        <v>325</v>
      </c>
      <c r="F475" t="s">
        <v>399</v>
      </c>
      <c r="G475">
        <v>7.9</v>
      </c>
      <c r="H475">
        <v>66</v>
      </c>
      <c r="I475" t="s">
        <v>1109</v>
      </c>
      <c r="J475" s="3">
        <v>160874</v>
      </c>
      <c r="K475" s="3" t="str">
        <f t="shared" si="33"/>
        <v>Maybe</v>
      </c>
      <c r="L475" s="3" t="str">
        <f t="shared" si="30"/>
        <v>Don't Watch</v>
      </c>
      <c r="M475" s="3"/>
      <c r="N475" s="3" t="str">
        <f t="shared" si="31"/>
        <v>Maybe</v>
      </c>
      <c r="O475" t="s">
        <v>1414</v>
      </c>
      <c r="P475" t="b">
        <f t="shared" si="32"/>
        <v>0</v>
      </c>
    </row>
    <row r="476" spans="1:16" x14ac:dyDescent="0.25">
      <c r="A476">
        <v>475</v>
      </c>
      <c r="B476" t="s">
        <v>1415</v>
      </c>
      <c r="C476" t="s">
        <v>1416</v>
      </c>
      <c r="D476" t="s">
        <v>30</v>
      </c>
      <c r="E476" t="s">
        <v>131</v>
      </c>
      <c r="F476" t="s">
        <v>187</v>
      </c>
      <c r="G476">
        <v>7.9</v>
      </c>
      <c r="H476">
        <v>81</v>
      </c>
      <c r="I476" t="s">
        <v>390</v>
      </c>
      <c r="J476" s="3">
        <v>674241</v>
      </c>
      <c r="K476" s="3" t="str">
        <f t="shared" si="33"/>
        <v>Maybe</v>
      </c>
      <c r="L476" s="3" t="str">
        <f t="shared" si="30"/>
        <v>Don't Watch</v>
      </c>
      <c r="M476" s="3"/>
      <c r="N476" s="3" t="str">
        <f t="shared" si="31"/>
        <v>Maybe</v>
      </c>
      <c r="O476" t="s">
        <v>1417</v>
      </c>
      <c r="P476" t="b">
        <f t="shared" si="32"/>
        <v>0</v>
      </c>
    </row>
    <row r="477" spans="1:16" x14ac:dyDescent="0.25">
      <c r="A477">
        <v>476</v>
      </c>
      <c r="B477" t="s">
        <v>1418</v>
      </c>
      <c r="C477">
        <v>-2019</v>
      </c>
      <c r="D477" t="s">
        <v>30</v>
      </c>
      <c r="E477" t="s">
        <v>59</v>
      </c>
      <c r="F477" t="s">
        <v>921</v>
      </c>
      <c r="G477">
        <v>7.9</v>
      </c>
      <c r="H477">
        <v>65</v>
      </c>
      <c r="I477" t="s">
        <v>804</v>
      </c>
      <c r="J477" s="3">
        <v>38594</v>
      </c>
      <c r="K477" s="3" t="str">
        <f t="shared" si="33"/>
        <v>Maybe</v>
      </c>
      <c r="L477" s="3" t="str">
        <f t="shared" si="30"/>
        <v>Don't Watch</v>
      </c>
      <c r="M477" s="3"/>
      <c r="N477" s="3" t="str">
        <f t="shared" si="31"/>
        <v>Maybe</v>
      </c>
      <c r="O477" t="s">
        <v>1419</v>
      </c>
      <c r="P477" t="b">
        <f t="shared" si="32"/>
        <v>0</v>
      </c>
    </row>
    <row r="478" spans="1:16" x14ac:dyDescent="0.25">
      <c r="A478">
        <v>477</v>
      </c>
      <c r="B478" t="s">
        <v>1420</v>
      </c>
      <c r="C478">
        <v>-2013</v>
      </c>
      <c r="D478">
        <v>15</v>
      </c>
      <c r="E478" t="s">
        <v>50</v>
      </c>
      <c r="F478" t="s">
        <v>20</v>
      </c>
      <c r="G478">
        <v>7.9</v>
      </c>
      <c r="H478">
        <v>82</v>
      </c>
      <c r="I478" t="s">
        <v>1421</v>
      </c>
      <c r="J478" s="3">
        <v>87254</v>
      </c>
      <c r="K478" s="3" t="str">
        <f t="shared" si="33"/>
        <v>Maybe</v>
      </c>
      <c r="L478" s="3" t="str">
        <f t="shared" si="30"/>
        <v>Don't Watch</v>
      </c>
      <c r="M478" s="3"/>
      <c r="N478" s="3" t="str">
        <f t="shared" si="31"/>
        <v>Maybe</v>
      </c>
      <c r="O478" t="s">
        <v>1422</v>
      </c>
      <c r="P478" t="b">
        <f t="shared" si="32"/>
        <v>0</v>
      </c>
    </row>
    <row r="479" spans="1:16" x14ac:dyDescent="0.25">
      <c r="A479">
        <v>478</v>
      </c>
      <c r="B479" t="s">
        <v>1423</v>
      </c>
      <c r="C479">
        <v>-2014</v>
      </c>
      <c r="D479">
        <v>18</v>
      </c>
      <c r="E479" t="s">
        <v>193</v>
      </c>
      <c r="F479" t="s">
        <v>1175</v>
      </c>
      <c r="G479">
        <v>7.9</v>
      </c>
      <c r="H479">
        <v>71</v>
      </c>
      <c r="I479" t="s">
        <v>1424</v>
      </c>
      <c r="J479" s="3">
        <v>122228</v>
      </c>
      <c r="K479" s="3" t="str">
        <f t="shared" si="33"/>
        <v>Maybe</v>
      </c>
      <c r="L479" s="3" t="str">
        <f t="shared" si="30"/>
        <v>Don't Watch</v>
      </c>
      <c r="M479" s="3"/>
      <c r="N479" s="3" t="str">
        <f t="shared" si="31"/>
        <v>Maybe</v>
      </c>
      <c r="O479" t="s">
        <v>1425</v>
      </c>
      <c r="P479" t="b">
        <f t="shared" si="32"/>
        <v>0</v>
      </c>
    </row>
    <row r="480" spans="1:16" x14ac:dyDescent="0.25">
      <c r="A480">
        <v>479</v>
      </c>
      <c r="B480" t="s">
        <v>1426</v>
      </c>
      <c r="C480">
        <v>-2013</v>
      </c>
      <c r="D480">
        <v>15</v>
      </c>
      <c r="E480" t="s">
        <v>241</v>
      </c>
      <c r="F480" t="s">
        <v>78</v>
      </c>
      <c r="G480">
        <v>7.9</v>
      </c>
      <c r="H480">
        <v>94</v>
      </c>
      <c r="I480" t="s">
        <v>852</v>
      </c>
      <c r="J480" s="3">
        <v>155238</v>
      </c>
      <c r="K480" s="3" t="str">
        <f t="shared" si="33"/>
        <v>Maybe</v>
      </c>
      <c r="L480" s="3" t="str">
        <f t="shared" si="30"/>
        <v>Don't Watch</v>
      </c>
      <c r="M480" s="3"/>
      <c r="N480" s="3" t="str">
        <f t="shared" si="31"/>
        <v>Maybe</v>
      </c>
      <c r="O480" t="s">
        <v>1427</v>
      </c>
      <c r="P480" t="b">
        <f t="shared" si="32"/>
        <v>0</v>
      </c>
    </row>
    <row r="481" spans="1:16" x14ac:dyDescent="0.25">
      <c r="A481">
        <v>480</v>
      </c>
      <c r="B481" t="s">
        <v>1428</v>
      </c>
      <c r="C481">
        <v>-2014</v>
      </c>
      <c r="D481" t="s">
        <v>30</v>
      </c>
      <c r="E481" t="s">
        <v>166</v>
      </c>
      <c r="F481" t="s">
        <v>64</v>
      </c>
      <c r="G481">
        <v>7.9</v>
      </c>
      <c r="H481">
        <v>75</v>
      </c>
      <c r="I481" t="s">
        <v>206</v>
      </c>
      <c r="J481" s="3">
        <v>701665</v>
      </c>
      <c r="K481" s="3" t="str">
        <f t="shared" si="33"/>
        <v>Maybe</v>
      </c>
      <c r="L481" s="3" t="str">
        <f t="shared" si="30"/>
        <v>Don't Watch</v>
      </c>
      <c r="M481" s="3"/>
      <c r="N481" s="3" t="str">
        <f t="shared" si="31"/>
        <v>Maybe</v>
      </c>
      <c r="O481" t="s">
        <v>1429</v>
      </c>
      <c r="P481" t="b">
        <f t="shared" si="32"/>
        <v>0</v>
      </c>
    </row>
    <row r="482" spans="1:16" x14ac:dyDescent="0.25">
      <c r="A482">
        <v>481</v>
      </c>
      <c r="B482" t="s">
        <v>1430</v>
      </c>
      <c r="C482">
        <v>-2022</v>
      </c>
      <c r="D482">
        <v>15</v>
      </c>
      <c r="E482" t="s">
        <v>1431</v>
      </c>
      <c r="F482" t="s">
        <v>32</v>
      </c>
      <c r="G482">
        <v>7.9</v>
      </c>
      <c r="H482">
        <v>72</v>
      </c>
      <c r="I482" t="s">
        <v>1432</v>
      </c>
      <c r="J482" s="3">
        <v>525671</v>
      </c>
      <c r="K482" s="3" t="str">
        <f t="shared" si="33"/>
        <v>Maybe</v>
      </c>
      <c r="L482" s="3" t="str">
        <f t="shared" si="30"/>
        <v>Don't Watch</v>
      </c>
      <c r="M482" s="3"/>
      <c r="N482" s="3" t="str">
        <f t="shared" si="31"/>
        <v>Maybe</v>
      </c>
      <c r="P482" t="b">
        <f t="shared" si="32"/>
        <v>0</v>
      </c>
    </row>
    <row r="483" spans="1:16" x14ac:dyDescent="0.25">
      <c r="A483">
        <v>482</v>
      </c>
      <c r="B483" t="s">
        <v>1433</v>
      </c>
      <c r="C483">
        <v>-2018</v>
      </c>
      <c r="D483" t="s">
        <v>30</v>
      </c>
      <c r="E483" t="s">
        <v>331</v>
      </c>
      <c r="F483" t="s">
        <v>194</v>
      </c>
      <c r="G483">
        <v>7.9</v>
      </c>
      <c r="H483">
        <v>49</v>
      </c>
      <c r="I483" t="s">
        <v>206</v>
      </c>
      <c r="J483" s="3">
        <v>521708</v>
      </c>
      <c r="K483" s="3" t="str">
        <f t="shared" si="33"/>
        <v>Maybe</v>
      </c>
      <c r="L483" s="3" t="str">
        <f t="shared" si="30"/>
        <v>Don't Watch</v>
      </c>
      <c r="M483" s="3"/>
      <c r="N483" s="3" t="str">
        <f t="shared" si="31"/>
        <v>Maybe</v>
      </c>
      <c r="O483" t="s">
        <v>1434</v>
      </c>
      <c r="P483" t="b">
        <f t="shared" si="32"/>
        <v>0</v>
      </c>
    </row>
    <row r="484" spans="1:16" x14ac:dyDescent="0.25">
      <c r="A484">
        <v>483</v>
      </c>
      <c r="B484" t="s">
        <v>1435</v>
      </c>
      <c r="C484">
        <v>-2014</v>
      </c>
      <c r="D484" t="s">
        <v>30</v>
      </c>
      <c r="E484" t="s">
        <v>50</v>
      </c>
      <c r="F484" t="s">
        <v>78</v>
      </c>
      <c r="G484">
        <v>7.9</v>
      </c>
      <c r="H484">
        <v>71</v>
      </c>
      <c r="I484" t="s">
        <v>1436</v>
      </c>
      <c r="J484" s="3">
        <v>25277</v>
      </c>
      <c r="K484" s="3" t="str">
        <f t="shared" si="33"/>
        <v>Maybe</v>
      </c>
      <c r="L484" s="3" t="str">
        <f t="shared" si="30"/>
        <v>Don't Watch</v>
      </c>
      <c r="M484" s="3"/>
      <c r="N484" s="3" t="str">
        <f t="shared" si="31"/>
        <v>Maybe</v>
      </c>
      <c r="O484" t="s">
        <v>693</v>
      </c>
      <c r="P484" t="b">
        <f t="shared" si="32"/>
        <v>0</v>
      </c>
    </row>
    <row r="485" spans="1:16" x14ac:dyDescent="0.25">
      <c r="A485">
        <v>484</v>
      </c>
      <c r="B485" t="s">
        <v>1437</v>
      </c>
      <c r="C485" t="s">
        <v>1438</v>
      </c>
      <c r="D485" t="s">
        <v>74</v>
      </c>
      <c r="E485" t="s">
        <v>613</v>
      </c>
      <c r="F485" t="s">
        <v>132</v>
      </c>
      <c r="G485">
        <v>7.9</v>
      </c>
      <c r="H485">
        <v>89</v>
      </c>
      <c r="I485" t="s">
        <v>1439</v>
      </c>
      <c r="J485" s="3">
        <v>240245</v>
      </c>
      <c r="K485" s="3" t="str">
        <f t="shared" si="33"/>
        <v>Maybe</v>
      </c>
      <c r="L485" s="3" t="str">
        <f t="shared" si="30"/>
        <v>Don't Watch</v>
      </c>
      <c r="M485" s="3"/>
      <c r="N485" s="3" t="str">
        <f t="shared" si="31"/>
        <v>Maybe</v>
      </c>
      <c r="O485" t="s">
        <v>1440</v>
      </c>
      <c r="P485" t="b">
        <f t="shared" si="32"/>
        <v>0</v>
      </c>
    </row>
    <row r="486" spans="1:16" x14ac:dyDescent="0.25">
      <c r="A486">
        <v>485</v>
      </c>
      <c r="B486" t="s">
        <v>1441</v>
      </c>
      <c r="C486">
        <v>-2014</v>
      </c>
      <c r="D486" t="s">
        <v>30</v>
      </c>
      <c r="E486" t="s">
        <v>325</v>
      </c>
      <c r="F486" t="s">
        <v>64</v>
      </c>
      <c r="G486">
        <v>7.9</v>
      </c>
      <c r="H486">
        <v>71</v>
      </c>
      <c r="I486" t="s">
        <v>1442</v>
      </c>
      <c r="J486" s="3">
        <v>661279</v>
      </c>
      <c r="K486" s="3" t="str">
        <f t="shared" si="33"/>
        <v>Maybe</v>
      </c>
      <c r="L486" s="3" t="str">
        <f t="shared" si="30"/>
        <v>Don't Watch</v>
      </c>
      <c r="M486" s="3"/>
      <c r="N486" s="3" t="str">
        <f t="shared" si="31"/>
        <v>Maybe</v>
      </c>
      <c r="O486" t="s">
        <v>1443</v>
      </c>
      <c r="P486" t="b">
        <f t="shared" si="32"/>
        <v>0</v>
      </c>
    </row>
    <row r="487" spans="1:16" x14ac:dyDescent="0.25">
      <c r="A487">
        <v>486</v>
      </c>
      <c r="B487" t="s">
        <v>1444</v>
      </c>
      <c r="C487">
        <v>-2012</v>
      </c>
      <c r="D487" t="s">
        <v>30</v>
      </c>
      <c r="E487" t="s">
        <v>136</v>
      </c>
      <c r="F487" t="s">
        <v>20</v>
      </c>
      <c r="G487">
        <v>7.9</v>
      </c>
      <c r="H487">
        <v>94</v>
      </c>
      <c r="I487" t="s">
        <v>1445</v>
      </c>
      <c r="J487" s="3">
        <v>99672</v>
      </c>
      <c r="K487" s="3" t="str">
        <f t="shared" si="33"/>
        <v>Maybe</v>
      </c>
      <c r="L487" s="3" t="str">
        <f t="shared" si="30"/>
        <v>Don't Watch</v>
      </c>
      <c r="M487" s="3"/>
      <c r="N487" s="3" t="str">
        <f t="shared" si="31"/>
        <v>Maybe</v>
      </c>
      <c r="O487" t="s">
        <v>1087</v>
      </c>
      <c r="P487" t="b">
        <f t="shared" si="32"/>
        <v>0</v>
      </c>
    </row>
    <row r="488" spans="1:16" x14ac:dyDescent="0.25">
      <c r="A488">
        <v>487</v>
      </c>
      <c r="B488" t="s">
        <v>1446</v>
      </c>
      <c r="C488">
        <v>-2009</v>
      </c>
      <c r="D488" t="s">
        <v>30</v>
      </c>
      <c r="E488" t="s">
        <v>202</v>
      </c>
      <c r="F488" t="s">
        <v>389</v>
      </c>
      <c r="G488">
        <v>7.9</v>
      </c>
      <c r="H488">
        <v>87</v>
      </c>
      <c r="I488" t="s">
        <v>385</v>
      </c>
      <c r="J488" s="3">
        <v>53112</v>
      </c>
      <c r="K488" s="3" t="str">
        <f t="shared" si="33"/>
        <v>Maybe</v>
      </c>
      <c r="L488" s="3" t="str">
        <f t="shared" si="30"/>
        <v>Don't Watch</v>
      </c>
      <c r="M488" s="3"/>
      <c r="N488" s="3" t="str">
        <f t="shared" si="31"/>
        <v>Maybe</v>
      </c>
      <c r="O488" t="s">
        <v>1447</v>
      </c>
      <c r="P488" t="b">
        <f t="shared" si="32"/>
        <v>0</v>
      </c>
    </row>
    <row r="489" spans="1:16" x14ac:dyDescent="0.25">
      <c r="A489">
        <v>488</v>
      </c>
      <c r="B489" t="s">
        <v>1448</v>
      </c>
      <c r="C489">
        <v>-2009</v>
      </c>
      <c r="D489">
        <v>15</v>
      </c>
      <c r="E489" t="s">
        <v>1072</v>
      </c>
      <c r="F489" t="s">
        <v>132</v>
      </c>
      <c r="G489">
        <v>7.9</v>
      </c>
      <c r="I489" t="s">
        <v>551</v>
      </c>
      <c r="J489" s="3">
        <v>30537</v>
      </c>
      <c r="K489" s="3" t="str">
        <f t="shared" si="33"/>
        <v>Maybe</v>
      </c>
      <c r="L489" s="3" t="str">
        <f t="shared" si="30"/>
        <v>Don't Watch</v>
      </c>
      <c r="M489" s="3"/>
      <c r="N489" s="3" t="str">
        <f t="shared" si="31"/>
        <v>Maybe</v>
      </c>
      <c r="O489" t="s">
        <v>684</v>
      </c>
      <c r="P489" t="b">
        <f t="shared" si="32"/>
        <v>0</v>
      </c>
    </row>
    <row r="490" spans="1:16" x14ac:dyDescent="0.25">
      <c r="A490">
        <v>489</v>
      </c>
      <c r="B490" t="s">
        <v>1449</v>
      </c>
      <c r="C490">
        <v>-2010</v>
      </c>
      <c r="D490" t="s">
        <v>30</v>
      </c>
      <c r="E490" t="s">
        <v>237</v>
      </c>
      <c r="F490" t="s">
        <v>78</v>
      </c>
      <c r="G490">
        <v>7.9</v>
      </c>
      <c r="H490">
        <v>50</v>
      </c>
      <c r="I490" t="s">
        <v>1450</v>
      </c>
      <c r="J490" s="3">
        <v>105796</v>
      </c>
      <c r="K490" s="3" t="str">
        <f t="shared" si="33"/>
        <v>Maybe</v>
      </c>
      <c r="L490" s="3" t="str">
        <f t="shared" si="30"/>
        <v>Don't Watch</v>
      </c>
      <c r="M490" s="3"/>
      <c r="N490" s="3" t="str">
        <f t="shared" si="31"/>
        <v>Maybe</v>
      </c>
      <c r="O490" t="s">
        <v>1451</v>
      </c>
      <c r="P490" t="b">
        <f t="shared" si="32"/>
        <v>0</v>
      </c>
    </row>
    <row r="491" spans="1:16" x14ac:dyDescent="0.25">
      <c r="A491">
        <v>490</v>
      </c>
      <c r="B491" t="s">
        <v>1452</v>
      </c>
      <c r="C491">
        <v>-2009</v>
      </c>
      <c r="D491">
        <v>15</v>
      </c>
      <c r="E491" t="s">
        <v>477</v>
      </c>
      <c r="F491" t="s">
        <v>676</v>
      </c>
      <c r="G491">
        <v>7.9</v>
      </c>
      <c r="I491" t="s">
        <v>1453</v>
      </c>
      <c r="J491" s="3">
        <v>33604</v>
      </c>
      <c r="K491" s="3" t="str">
        <f t="shared" si="33"/>
        <v>Maybe</v>
      </c>
      <c r="L491" s="3" t="str">
        <f t="shared" si="30"/>
        <v>Don't Watch</v>
      </c>
      <c r="M491" s="3"/>
      <c r="N491" s="3" t="str">
        <f t="shared" si="31"/>
        <v>Maybe</v>
      </c>
      <c r="P491" t="b">
        <f t="shared" si="32"/>
        <v>0</v>
      </c>
    </row>
    <row r="492" spans="1:16" x14ac:dyDescent="0.25">
      <c r="A492">
        <v>491</v>
      </c>
      <c r="B492" t="s">
        <v>1454</v>
      </c>
      <c r="C492">
        <v>-2008</v>
      </c>
      <c r="D492">
        <v>15</v>
      </c>
      <c r="E492" t="s">
        <v>655</v>
      </c>
      <c r="F492" t="s">
        <v>520</v>
      </c>
      <c r="G492">
        <v>7.9</v>
      </c>
      <c r="H492">
        <v>82</v>
      </c>
      <c r="I492" t="s">
        <v>1455</v>
      </c>
      <c r="J492" s="3">
        <v>215256</v>
      </c>
      <c r="K492" s="3" t="str">
        <f t="shared" si="33"/>
        <v>Maybe</v>
      </c>
      <c r="L492" s="3" t="str">
        <f t="shared" si="30"/>
        <v>Don't Watch</v>
      </c>
      <c r="M492" s="3"/>
      <c r="N492" s="3" t="str">
        <f t="shared" si="31"/>
        <v>Maybe</v>
      </c>
      <c r="O492" t="s">
        <v>1456</v>
      </c>
      <c r="P492" t="b">
        <f t="shared" si="32"/>
        <v>0</v>
      </c>
    </row>
    <row r="493" spans="1:16" x14ac:dyDescent="0.25">
      <c r="A493">
        <v>492</v>
      </c>
      <c r="B493" t="s">
        <v>1457</v>
      </c>
      <c r="C493">
        <v>-2009</v>
      </c>
      <c r="D493">
        <v>15</v>
      </c>
      <c r="E493" t="s">
        <v>176</v>
      </c>
      <c r="F493" t="s">
        <v>1458</v>
      </c>
      <c r="G493">
        <v>7.9</v>
      </c>
      <c r="H493">
        <v>81</v>
      </c>
      <c r="I493" t="s">
        <v>1459</v>
      </c>
      <c r="J493" s="3">
        <v>673187</v>
      </c>
      <c r="K493" s="3" t="str">
        <f t="shared" si="33"/>
        <v>Maybe</v>
      </c>
      <c r="L493" s="3" t="str">
        <f t="shared" si="30"/>
        <v>Don't Watch</v>
      </c>
      <c r="M493" s="3"/>
      <c r="N493" s="3" t="str">
        <f t="shared" si="31"/>
        <v>Maybe</v>
      </c>
      <c r="O493" t="s">
        <v>1460</v>
      </c>
      <c r="P493" t="b">
        <f t="shared" si="32"/>
        <v>0</v>
      </c>
    </row>
    <row r="494" spans="1:16" x14ac:dyDescent="0.25">
      <c r="A494">
        <v>493</v>
      </c>
      <c r="B494" t="s">
        <v>1461</v>
      </c>
      <c r="C494">
        <v>-2008</v>
      </c>
      <c r="D494">
        <v>15</v>
      </c>
      <c r="E494" t="s">
        <v>241</v>
      </c>
      <c r="F494" t="s">
        <v>842</v>
      </c>
      <c r="G494">
        <v>7.9</v>
      </c>
      <c r="H494">
        <v>80</v>
      </c>
      <c r="I494" t="s">
        <v>423</v>
      </c>
      <c r="J494" s="3">
        <v>303298</v>
      </c>
      <c r="K494" s="3" t="str">
        <f t="shared" si="33"/>
        <v>Maybe</v>
      </c>
      <c r="L494" s="3" t="str">
        <f t="shared" si="30"/>
        <v>Don't Watch</v>
      </c>
      <c r="M494" s="3"/>
      <c r="N494" s="3" t="str">
        <f t="shared" si="31"/>
        <v>Maybe</v>
      </c>
      <c r="O494" t="s">
        <v>1462</v>
      </c>
      <c r="P494" t="b">
        <f t="shared" si="32"/>
        <v>0</v>
      </c>
    </row>
    <row r="495" spans="1:16" x14ac:dyDescent="0.25">
      <c r="A495">
        <v>494</v>
      </c>
      <c r="B495" t="s">
        <v>1463</v>
      </c>
      <c r="C495">
        <v>-2007</v>
      </c>
      <c r="D495" t="s">
        <v>74</v>
      </c>
      <c r="E495" t="s">
        <v>515</v>
      </c>
      <c r="F495" t="s">
        <v>132</v>
      </c>
      <c r="G495">
        <v>7.9</v>
      </c>
      <c r="I495" t="s">
        <v>1464</v>
      </c>
      <c r="J495" s="3">
        <v>52405</v>
      </c>
      <c r="K495" s="3" t="str">
        <f t="shared" si="33"/>
        <v>Maybe</v>
      </c>
      <c r="L495" s="3" t="str">
        <f t="shared" si="30"/>
        <v>Don't Watch</v>
      </c>
      <c r="M495" s="3"/>
      <c r="N495" s="3" t="str">
        <f t="shared" si="31"/>
        <v>Maybe</v>
      </c>
      <c r="O495" t="s">
        <v>1465</v>
      </c>
      <c r="P495" t="b">
        <f t="shared" si="32"/>
        <v>0</v>
      </c>
    </row>
    <row r="496" spans="1:16" x14ac:dyDescent="0.25">
      <c r="A496">
        <v>495</v>
      </c>
      <c r="B496" t="s">
        <v>1466</v>
      </c>
      <c r="C496" t="s">
        <v>1075</v>
      </c>
      <c r="D496">
        <v>15</v>
      </c>
      <c r="E496" t="s">
        <v>237</v>
      </c>
      <c r="F496" t="s">
        <v>20</v>
      </c>
      <c r="G496">
        <v>7.9</v>
      </c>
      <c r="H496">
        <v>100</v>
      </c>
      <c r="I496" t="s">
        <v>852</v>
      </c>
      <c r="J496" s="3">
        <v>351729</v>
      </c>
      <c r="K496" s="3" t="str">
        <f t="shared" si="33"/>
        <v>Maybe</v>
      </c>
      <c r="L496" s="3" t="str">
        <f t="shared" si="30"/>
        <v>Don't Watch</v>
      </c>
      <c r="M496" s="3"/>
      <c r="N496" s="3" t="str">
        <f t="shared" si="31"/>
        <v>Maybe</v>
      </c>
      <c r="O496" t="s">
        <v>1467</v>
      </c>
      <c r="P496" t="b">
        <f t="shared" si="32"/>
        <v>0</v>
      </c>
    </row>
    <row r="497" spans="1:16" x14ac:dyDescent="0.25">
      <c r="A497">
        <v>496</v>
      </c>
      <c r="B497" t="s">
        <v>1468</v>
      </c>
      <c r="C497">
        <v>-2021</v>
      </c>
      <c r="D497">
        <v>15</v>
      </c>
      <c r="E497" t="s">
        <v>477</v>
      </c>
      <c r="F497" t="s">
        <v>132</v>
      </c>
      <c r="G497">
        <v>7.9</v>
      </c>
      <c r="H497">
        <v>90</v>
      </c>
      <c r="I497" t="s">
        <v>1469</v>
      </c>
      <c r="J497" s="3">
        <v>48974</v>
      </c>
      <c r="K497" s="3" t="str">
        <f t="shared" si="33"/>
        <v>Maybe</v>
      </c>
      <c r="L497" s="3" t="str">
        <f t="shared" si="30"/>
        <v>Don't Watch</v>
      </c>
      <c r="M497" s="3"/>
      <c r="N497" s="3" t="str">
        <f t="shared" si="31"/>
        <v>Maybe</v>
      </c>
      <c r="P497" t="b">
        <f t="shared" si="32"/>
        <v>0</v>
      </c>
    </row>
    <row r="498" spans="1:16" x14ac:dyDescent="0.25">
      <c r="A498">
        <v>497</v>
      </c>
      <c r="B498" t="s">
        <v>1470</v>
      </c>
      <c r="C498">
        <v>-2007</v>
      </c>
      <c r="D498">
        <v>15</v>
      </c>
      <c r="E498" t="s">
        <v>325</v>
      </c>
      <c r="F498" t="s">
        <v>20</v>
      </c>
      <c r="G498">
        <v>7.9</v>
      </c>
      <c r="H498">
        <v>97</v>
      </c>
      <c r="I498" t="s">
        <v>1471</v>
      </c>
      <c r="J498" s="3">
        <v>59980</v>
      </c>
      <c r="K498" s="3" t="str">
        <f t="shared" si="33"/>
        <v>Maybe</v>
      </c>
      <c r="L498" s="3" t="str">
        <f t="shared" si="30"/>
        <v>Don't Watch</v>
      </c>
      <c r="M498" s="3"/>
      <c r="N498" s="3" t="str">
        <f t="shared" si="31"/>
        <v>Maybe</v>
      </c>
      <c r="O498" t="s">
        <v>1472</v>
      </c>
      <c r="P498" t="b">
        <f t="shared" si="32"/>
        <v>0</v>
      </c>
    </row>
    <row r="499" spans="1:16" x14ac:dyDescent="0.25">
      <c r="A499">
        <v>498</v>
      </c>
      <c r="B499" t="s">
        <v>1473</v>
      </c>
      <c r="C499">
        <v>-2009</v>
      </c>
      <c r="D499" t="s">
        <v>30</v>
      </c>
      <c r="E499" t="s">
        <v>136</v>
      </c>
      <c r="F499" t="s">
        <v>64</v>
      </c>
      <c r="G499">
        <v>7.9</v>
      </c>
      <c r="H499">
        <v>82</v>
      </c>
      <c r="I499" t="s">
        <v>1474</v>
      </c>
      <c r="J499" s="3">
        <v>599520</v>
      </c>
      <c r="K499" s="3" t="str">
        <f t="shared" si="33"/>
        <v>Maybe</v>
      </c>
      <c r="L499" s="3" t="str">
        <f t="shared" si="30"/>
        <v>Don't Watch</v>
      </c>
      <c r="M499" s="3"/>
      <c r="N499" s="3" t="str">
        <f t="shared" si="31"/>
        <v>Maybe</v>
      </c>
      <c r="O499" t="s">
        <v>1475</v>
      </c>
      <c r="P499" t="b">
        <f t="shared" si="32"/>
        <v>0</v>
      </c>
    </row>
    <row r="500" spans="1:16" x14ac:dyDescent="0.25">
      <c r="A500">
        <v>499</v>
      </c>
      <c r="B500" t="s">
        <v>1476</v>
      </c>
      <c r="C500">
        <v>-2013</v>
      </c>
      <c r="D500">
        <v>15</v>
      </c>
      <c r="E500" t="s">
        <v>232</v>
      </c>
      <c r="F500" t="s">
        <v>606</v>
      </c>
      <c r="G500">
        <v>7.9</v>
      </c>
      <c r="H500">
        <v>79</v>
      </c>
      <c r="I500" t="s">
        <v>1477</v>
      </c>
      <c r="J500" s="3">
        <v>480285</v>
      </c>
      <c r="K500" s="3" t="str">
        <f t="shared" si="33"/>
        <v>Maybe</v>
      </c>
      <c r="L500" s="3" t="str">
        <f t="shared" si="30"/>
        <v>Don't Watch</v>
      </c>
      <c r="M500" s="3"/>
      <c r="N500" s="3" t="str">
        <f t="shared" si="31"/>
        <v>Maybe</v>
      </c>
      <c r="O500" t="s">
        <v>1478</v>
      </c>
      <c r="P500" t="b">
        <f t="shared" si="32"/>
        <v>0</v>
      </c>
    </row>
    <row r="501" spans="1:16" x14ac:dyDescent="0.25">
      <c r="A501">
        <v>500</v>
      </c>
      <c r="B501" t="s">
        <v>1479</v>
      </c>
      <c r="C501">
        <v>-2008</v>
      </c>
      <c r="D501">
        <v>18</v>
      </c>
      <c r="E501" t="s">
        <v>493</v>
      </c>
      <c r="F501" t="s">
        <v>453</v>
      </c>
      <c r="G501">
        <v>7.9</v>
      </c>
      <c r="H501">
        <v>67</v>
      </c>
      <c r="I501" t="s">
        <v>732</v>
      </c>
      <c r="J501" s="3">
        <v>416514</v>
      </c>
      <c r="K501" s="3" t="str">
        <f t="shared" si="33"/>
        <v>Maybe</v>
      </c>
      <c r="L501" s="3" t="str">
        <f t="shared" si="30"/>
        <v>Don't Watch</v>
      </c>
      <c r="M501" s="3"/>
      <c r="N501" s="3" t="str">
        <f t="shared" si="31"/>
        <v>Maybe</v>
      </c>
      <c r="O501" t="s">
        <v>1480</v>
      </c>
      <c r="P501" t="b">
        <f t="shared" si="32"/>
        <v>0</v>
      </c>
    </row>
    <row r="502" spans="1:16" x14ac:dyDescent="0.25">
      <c r="A502">
        <v>501</v>
      </c>
      <c r="B502" t="s">
        <v>1481</v>
      </c>
      <c r="C502">
        <v>-2007</v>
      </c>
      <c r="D502" t="s">
        <v>74</v>
      </c>
      <c r="E502" t="s">
        <v>254</v>
      </c>
      <c r="F502" t="s">
        <v>1482</v>
      </c>
      <c r="G502">
        <v>7.9</v>
      </c>
      <c r="I502" t="s">
        <v>1483</v>
      </c>
      <c r="J502" s="3">
        <v>185755</v>
      </c>
      <c r="K502" s="3" t="str">
        <f t="shared" si="33"/>
        <v>Maybe</v>
      </c>
      <c r="L502" s="3" t="str">
        <f t="shared" si="30"/>
        <v>Don't Watch</v>
      </c>
      <c r="M502" s="3"/>
      <c r="N502" s="3" t="str">
        <f t="shared" si="31"/>
        <v>Maybe</v>
      </c>
      <c r="P502" t="b">
        <f t="shared" si="32"/>
        <v>0</v>
      </c>
    </row>
    <row r="503" spans="1:16" x14ac:dyDescent="0.25">
      <c r="A503">
        <v>502</v>
      </c>
      <c r="B503" t="s">
        <v>1484</v>
      </c>
      <c r="C503">
        <v>-2006</v>
      </c>
      <c r="D503">
        <v>15</v>
      </c>
      <c r="E503" t="s">
        <v>163</v>
      </c>
      <c r="F503" t="s">
        <v>37</v>
      </c>
      <c r="G503">
        <v>7.9</v>
      </c>
      <c r="H503">
        <v>89</v>
      </c>
      <c r="I503" t="s">
        <v>635</v>
      </c>
      <c r="J503" s="3">
        <v>161879</v>
      </c>
      <c r="K503" s="3" t="str">
        <f t="shared" si="33"/>
        <v>Maybe</v>
      </c>
      <c r="L503" s="3" t="str">
        <f t="shared" si="30"/>
        <v>Don't Watch</v>
      </c>
      <c r="M503" s="3"/>
      <c r="N503" s="3" t="str">
        <f t="shared" si="31"/>
        <v>Maybe</v>
      </c>
      <c r="O503" t="s">
        <v>1485</v>
      </c>
      <c r="P503" t="b">
        <f t="shared" si="32"/>
        <v>0</v>
      </c>
    </row>
    <row r="504" spans="1:16" x14ac:dyDescent="0.25">
      <c r="A504">
        <v>503</v>
      </c>
      <c r="B504" t="s">
        <v>1486</v>
      </c>
      <c r="C504">
        <v>-2012</v>
      </c>
      <c r="D504" t="s">
        <v>74</v>
      </c>
      <c r="E504" t="s">
        <v>136</v>
      </c>
      <c r="F504" t="s">
        <v>1189</v>
      </c>
      <c r="G504">
        <v>7.9</v>
      </c>
      <c r="H504">
        <v>79</v>
      </c>
      <c r="I504" t="s">
        <v>1487</v>
      </c>
      <c r="J504" s="3">
        <v>619821</v>
      </c>
      <c r="K504" s="3" t="str">
        <f t="shared" si="33"/>
        <v>Maybe</v>
      </c>
      <c r="L504" s="3" t="str">
        <f t="shared" si="30"/>
        <v>Don't Watch</v>
      </c>
      <c r="M504" s="3"/>
      <c r="N504" s="3" t="str">
        <f t="shared" si="31"/>
        <v>Maybe</v>
      </c>
      <c r="O504" t="s">
        <v>1488</v>
      </c>
      <c r="P504" t="b">
        <f t="shared" si="32"/>
        <v>0</v>
      </c>
    </row>
    <row r="505" spans="1:16" x14ac:dyDescent="0.25">
      <c r="A505">
        <v>504</v>
      </c>
      <c r="B505" t="s">
        <v>1489</v>
      </c>
      <c r="C505">
        <v>-2009</v>
      </c>
      <c r="D505" t="s">
        <v>74</v>
      </c>
      <c r="E505" t="s">
        <v>254</v>
      </c>
      <c r="F505" t="s">
        <v>292</v>
      </c>
      <c r="G505">
        <v>7.9</v>
      </c>
      <c r="H505">
        <v>83</v>
      </c>
      <c r="I505" t="s">
        <v>774</v>
      </c>
      <c r="J505" s="3">
        <v>226539</v>
      </c>
      <c r="K505" s="3" t="str">
        <f t="shared" si="33"/>
        <v>Maybe</v>
      </c>
      <c r="L505" s="3" t="str">
        <f t="shared" si="30"/>
        <v>Don't Watch</v>
      </c>
      <c r="M505" s="3"/>
      <c r="N505" s="3" t="str">
        <f t="shared" si="31"/>
        <v>Maybe</v>
      </c>
      <c r="O505" t="s">
        <v>1490</v>
      </c>
      <c r="P505" t="b">
        <f t="shared" si="32"/>
        <v>0</v>
      </c>
    </row>
    <row r="506" spans="1:16" x14ac:dyDescent="0.25">
      <c r="A506">
        <v>505</v>
      </c>
      <c r="B506" t="s">
        <v>1491</v>
      </c>
      <c r="C506">
        <v>-2004</v>
      </c>
      <c r="D506">
        <v>15</v>
      </c>
      <c r="E506" t="s">
        <v>213</v>
      </c>
      <c r="F506" t="s">
        <v>1132</v>
      </c>
      <c r="G506">
        <v>7.9</v>
      </c>
      <c r="H506">
        <v>72</v>
      </c>
      <c r="I506" t="s">
        <v>1178</v>
      </c>
      <c r="J506" s="3">
        <v>54823</v>
      </c>
      <c r="K506" s="3" t="str">
        <f t="shared" si="33"/>
        <v>Maybe</v>
      </c>
      <c r="L506" s="3" t="str">
        <f t="shared" si="30"/>
        <v>Don't Watch</v>
      </c>
      <c r="M506" s="3"/>
      <c r="N506" s="3" t="str">
        <f t="shared" si="31"/>
        <v>Maybe</v>
      </c>
      <c r="O506" t="s">
        <v>1492</v>
      </c>
      <c r="P506" t="b">
        <f t="shared" si="32"/>
        <v>0</v>
      </c>
    </row>
    <row r="507" spans="1:16" x14ac:dyDescent="0.25">
      <c r="A507">
        <v>506</v>
      </c>
      <c r="B507" t="s">
        <v>1493</v>
      </c>
      <c r="C507">
        <v>-2005</v>
      </c>
      <c r="D507">
        <v>15</v>
      </c>
      <c r="E507" t="s">
        <v>452</v>
      </c>
      <c r="F507" t="s">
        <v>304</v>
      </c>
      <c r="G507">
        <v>7.9</v>
      </c>
      <c r="H507">
        <v>81</v>
      </c>
      <c r="I507" t="s">
        <v>1477</v>
      </c>
      <c r="J507" s="3">
        <v>32808</v>
      </c>
      <c r="K507" s="3" t="str">
        <f t="shared" si="33"/>
        <v>Maybe</v>
      </c>
      <c r="L507" s="3" t="str">
        <f t="shared" si="30"/>
        <v>Don't Watch</v>
      </c>
      <c r="M507" s="3"/>
      <c r="N507" s="3" t="str">
        <f t="shared" si="31"/>
        <v>Maybe</v>
      </c>
      <c r="P507" t="b">
        <f t="shared" si="32"/>
        <v>0</v>
      </c>
    </row>
    <row r="508" spans="1:16" x14ac:dyDescent="0.25">
      <c r="A508">
        <v>507</v>
      </c>
      <c r="B508" t="s">
        <v>1494</v>
      </c>
      <c r="C508">
        <v>-2003</v>
      </c>
      <c r="D508">
        <v>12</v>
      </c>
      <c r="E508" t="s">
        <v>209</v>
      </c>
      <c r="F508" t="s">
        <v>20</v>
      </c>
      <c r="G508">
        <v>7.9</v>
      </c>
      <c r="H508">
        <v>82</v>
      </c>
      <c r="I508" t="s">
        <v>1495</v>
      </c>
      <c r="J508" s="3">
        <v>45343</v>
      </c>
      <c r="K508" s="3" t="str">
        <f t="shared" si="33"/>
        <v>Maybe</v>
      </c>
      <c r="L508" s="3" t="str">
        <f t="shared" si="30"/>
        <v>Don't Watch</v>
      </c>
      <c r="M508" s="3"/>
      <c r="N508" s="3" t="str">
        <f t="shared" si="31"/>
        <v>Maybe</v>
      </c>
      <c r="O508" t="s">
        <v>1278</v>
      </c>
      <c r="P508" t="b">
        <f t="shared" si="32"/>
        <v>0</v>
      </c>
    </row>
    <row r="509" spans="1:16" x14ac:dyDescent="0.25">
      <c r="A509">
        <v>508</v>
      </c>
      <c r="B509" t="s">
        <v>1496</v>
      </c>
      <c r="C509">
        <v>-2008</v>
      </c>
      <c r="D509" t="s">
        <v>30</v>
      </c>
      <c r="E509" t="s">
        <v>263</v>
      </c>
      <c r="F509" t="s">
        <v>64</v>
      </c>
      <c r="G509">
        <v>7.9</v>
      </c>
      <c r="H509">
        <v>79</v>
      </c>
      <c r="I509" t="s">
        <v>1497</v>
      </c>
      <c r="J509" s="3">
        <v>1033503</v>
      </c>
      <c r="K509" s="3" t="str">
        <f t="shared" si="33"/>
        <v>Maybe</v>
      </c>
      <c r="L509" s="3" t="str">
        <f t="shared" si="30"/>
        <v>Don't Watch</v>
      </c>
      <c r="M509" s="3"/>
      <c r="N509" s="3" t="str">
        <f t="shared" si="31"/>
        <v>Maybe</v>
      </c>
      <c r="O509" t="s">
        <v>1498</v>
      </c>
      <c r="P509" t="b">
        <f t="shared" si="32"/>
        <v>0</v>
      </c>
    </row>
    <row r="510" spans="1:16" x14ac:dyDescent="0.25">
      <c r="A510">
        <v>509</v>
      </c>
      <c r="B510" t="s">
        <v>1499</v>
      </c>
      <c r="C510">
        <v>-2004</v>
      </c>
      <c r="D510">
        <v>15</v>
      </c>
      <c r="E510" t="s">
        <v>436</v>
      </c>
      <c r="F510" t="s">
        <v>1500</v>
      </c>
      <c r="G510">
        <v>7.9</v>
      </c>
      <c r="H510">
        <v>76</v>
      </c>
      <c r="I510" t="s">
        <v>1501</v>
      </c>
      <c r="J510" s="3">
        <v>548991</v>
      </c>
      <c r="K510" s="3" t="str">
        <f t="shared" si="33"/>
        <v>Maybe</v>
      </c>
      <c r="L510" s="3" t="str">
        <f t="shared" si="30"/>
        <v>Don't Watch</v>
      </c>
      <c r="M510" s="3"/>
      <c r="N510" s="3" t="str">
        <f t="shared" si="31"/>
        <v>Maybe</v>
      </c>
      <c r="O510" t="s">
        <v>1502</v>
      </c>
      <c r="P510" t="b">
        <f t="shared" si="32"/>
        <v>0</v>
      </c>
    </row>
    <row r="511" spans="1:16" x14ac:dyDescent="0.25">
      <c r="A511">
        <v>510</v>
      </c>
      <c r="B511" t="s">
        <v>1503</v>
      </c>
      <c r="C511">
        <v>-2003</v>
      </c>
      <c r="D511" t="s">
        <v>30</v>
      </c>
      <c r="E511" t="s">
        <v>541</v>
      </c>
      <c r="F511" t="s">
        <v>803</v>
      </c>
      <c r="G511">
        <v>7.9</v>
      </c>
      <c r="H511">
        <v>54</v>
      </c>
      <c r="I511" t="s">
        <v>1504</v>
      </c>
      <c r="J511" s="3">
        <v>68442</v>
      </c>
      <c r="K511" s="3" t="str">
        <f t="shared" si="33"/>
        <v>Maybe</v>
      </c>
      <c r="L511" s="3" t="str">
        <f t="shared" si="30"/>
        <v>Don't Watch</v>
      </c>
      <c r="M511" s="3"/>
      <c r="N511" s="3" t="str">
        <f t="shared" si="31"/>
        <v>Maybe</v>
      </c>
      <c r="O511" t="s">
        <v>1505</v>
      </c>
      <c r="P511" t="b">
        <f t="shared" si="32"/>
        <v>0</v>
      </c>
    </row>
    <row r="512" spans="1:16" x14ac:dyDescent="0.25">
      <c r="A512">
        <v>511</v>
      </c>
      <c r="B512" t="s">
        <v>1506</v>
      </c>
      <c r="C512">
        <v>-2004</v>
      </c>
      <c r="D512">
        <v>18</v>
      </c>
      <c r="E512" t="s">
        <v>148</v>
      </c>
      <c r="F512" t="s">
        <v>78</v>
      </c>
      <c r="G512">
        <v>7.9</v>
      </c>
      <c r="H512">
        <v>78</v>
      </c>
      <c r="I512" t="s">
        <v>1507</v>
      </c>
      <c r="J512" s="3">
        <v>54075</v>
      </c>
      <c r="K512" s="3" t="str">
        <f t="shared" si="33"/>
        <v>Maybe</v>
      </c>
      <c r="L512" s="3" t="str">
        <f t="shared" si="30"/>
        <v>Don't Watch</v>
      </c>
      <c r="M512" s="3"/>
      <c r="N512" s="3" t="str">
        <f t="shared" si="31"/>
        <v>Maybe</v>
      </c>
      <c r="P512" t="b">
        <f t="shared" si="32"/>
        <v>0</v>
      </c>
    </row>
    <row r="513" spans="1:16" x14ac:dyDescent="0.25">
      <c r="A513">
        <v>512</v>
      </c>
      <c r="B513" t="s">
        <v>1508</v>
      </c>
      <c r="C513">
        <v>-2003</v>
      </c>
      <c r="D513">
        <v>15</v>
      </c>
      <c r="E513" t="s">
        <v>515</v>
      </c>
      <c r="F513" t="s">
        <v>56</v>
      </c>
      <c r="G513">
        <v>7.9</v>
      </c>
      <c r="H513">
        <v>84</v>
      </c>
      <c r="I513" t="s">
        <v>635</v>
      </c>
      <c r="J513" s="3">
        <v>450809</v>
      </c>
      <c r="K513" s="3" t="str">
        <f t="shared" si="33"/>
        <v>Maybe</v>
      </c>
      <c r="L513" s="3" t="str">
        <f t="shared" si="30"/>
        <v>Don't Watch</v>
      </c>
      <c r="M513" s="3"/>
      <c r="N513" s="3" t="str">
        <f t="shared" si="31"/>
        <v>Maybe</v>
      </c>
      <c r="O513" t="s">
        <v>1509</v>
      </c>
      <c r="P513" t="b">
        <f t="shared" si="32"/>
        <v>0</v>
      </c>
    </row>
    <row r="514" spans="1:16" x14ac:dyDescent="0.25">
      <c r="A514">
        <v>513</v>
      </c>
      <c r="B514" t="s">
        <v>1510</v>
      </c>
      <c r="C514">
        <v>-2004</v>
      </c>
      <c r="D514" t="s">
        <v>74</v>
      </c>
      <c r="E514" t="s">
        <v>19</v>
      </c>
      <c r="F514" t="s">
        <v>1044</v>
      </c>
      <c r="G514">
        <v>7.9</v>
      </c>
      <c r="H514">
        <v>82</v>
      </c>
      <c r="I514" t="s">
        <v>1511</v>
      </c>
      <c r="J514" s="3">
        <v>618358</v>
      </c>
      <c r="K514" s="3" t="str">
        <f t="shared" si="33"/>
        <v>Maybe</v>
      </c>
      <c r="L514" s="3" t="str">
        <f t="shared" si="30"/>
        <v>Don't Watch</v>
      </c>
      <c r="M514" s="3"/>
      <c r="N514" s="3" t="str">
        <f t="shared" si="31"/>
        <v>Maybe</v>
      </c>
      <c r="O514" t="s">
        <v>1512</v>
      </c>
      <c r="P514" t="b">
        <f t="shared" si="32"/>
        <v>0</v>
      </c>
    </row>
    <row r="515" spans="1:16" x14ac:dyDescent="0.25">
      <c r="A515">
        <v>514</v>
      </c>
      <c r="B515" t="s">
        <v>1513</v>
      </c>
      <c r="C515">
        <v>-2002</v>
      </c>
      <c r="D515" t="s">
        <v>30</v>
      </c>
      <c r="E515" t="s">
        <v>811</v>
      </c>
      <c r="F515" t="s">
        <v>37</v>
      </c>
      <c r="G515">
        <v>7.9</v>
      </c>
      <c r="H515">
        <v>85</v>
      </c>
      <c r="I515" t="s">
        <v>926</v>
      </c>
      <c r="J515" s="3">
        <v>180528</v>
      </c>
      <c r="K515" s="3" t="str">
        <f t="shared" si="33"/>
        <v>Maybe</v>
      </c>
      <c r="L515" s="3" t="str">
        <f t="shared" ref="L515:L578" si="34">IF(G515=9,"Must Watch",IF(G515=8,"Maybe","Don't Watch"))</f>
        <v>Don't Watch</v>
      </c>
      <c r="M515" s="3"/>
      <c r="N515" s="3" t="str">
        <f t="shared" ref="N515:N578" si="35">IF(I515="Billy Wilder", "Must Watch", IF(I515="John Ford", "Watch", "Maybe"))</f>
        <v>Maybe</v>
      </c>
      <c r="O515" t="s">
        <v>1514</v>
      </c>
      <c r="P515" t="b">
        <f t="shared" ref="P515:P578" si="36">ISNUMBER(B:B)</f>
        <v>0</v>
      </c>
    </row>
    <row r="516" spans="1:16" x14ac:dyDescent="0.25">
      <c r="A516">
        <v>515</v>
      </c>
      <c r="B516" t="s">
        <v>1515</v>
      </c>
      <c r="C516">
        <v>-2002</v>
      </c>
      <c r="D516">
        <v>15</v>
      </c>
      <c r="E516" t="s">
        <v>176</v>
      </c>
      <c r="F516" t="s">
        <v>557</v>
      </c>
      <c r="G516">
        <v>7.9</v>
      </c>
      <c r="H516">
        <v>86</v>
      </c>
      <c r="I516" t="s">
        <v>1516</v>
      </c>
      <c r="J516" s="3">
        <v>111779</v>
      </c>
      <c r="K516" s="3" t="str">
        <f t="shared" si="33"/>
        <v>Maybe</v>
      </c>
      <c r="L516" s="3" t="str">
        <f t="shared" si="34"/>
        <v>Don't Watch</v>
      </c>
      <c r="M516" s="3"/>
      <c r="N516" s="3" t="str">
        <f t="shared" si="35"/>
        <v>Maybe</v>
      </c>
      <c r="O516" t="s">
        <v>1517</v>
      </c>
      <c r="P516" t="b">
        <f t="shared" si="36"/>
        <v>0</v>
      </c>
    </row>
    <row r="517" spans="1:16" x14ac:dyDescent="0.25">
      <c r="A517">
        <v>516</v>
      </c>
      <c r="B517" t="s">
        <v>1518</v>
      </c>
      <c r="C517" t="s">
        <v>1519</v>
      </c>
      <c r="D517">
        <v>15</v>
      </c>
      <c r="E517" t="s">
        <v>313</v>
      </c>
      <c r="F517" t="s">
        <v>366</v>
      </c>
      <c r="G517">
        <v>7.9</v>
      </c>
      <c r="H517">
        <v>84</v>
      </c>
      <c r="I517" t="s">
        <v>1520</v>
      </c>
      <c r="J517" s="3">
        <v>47007</v>
      </c>
      <c r="K517" s="3" t="str">
        <f t="shared" si="33"/>
        <v>Maybe</v>
      </c>
      <c r="L517" s="3" t="str">
        <f t="shared" si="34"/>
        <v>Don't Watch</v>
      </c>
      <c r="M517" s="3"/>
      <c r="N517" s="3" t="str">
        <f t="shared" si="35"/>
        <v>Maybe</v>
      </c>
      <c r="O517" t="s">
        <v>1521</v>
      </c>
      <c r="P517" t="b">
        <f t="shared" si="36"/>
        <v>0</v>
      </c>
    </row>
    <row r="518" spans="1:16" x14ac:dyDescent="0.25">
      <c r="A518">
        <v>517</v>
      </c>
      <c r="B518" t="s">
        <v>1522</v>
      </c>
      <c r="C518">
        <v>-2002</v>
      </c>
      <c r="D518" t="s">
        <v>30</v>
      </c>
      <c r="E518" t="s">
        <v>202</v>
      </c>
      <c r="F518" t="s">
        <v>1153</v>
      </c>
      <c r="G518">
        <v>7.9</v>
      </c>
      <c r="H518">
        <v>68</v>
      </c>
      <c r="I518" t="s">
        <v>1442</v>
      </c>
      <c r="J518" s="3">
        <v>540414</v>
      </c>
      <c r="K518" s="3" t="str">
        <f t="shared" si="33"/>
        <v>Maybe</v>
      </c>
      <c r="L518" s="3" t="str">
        <f t="shared" si="34"/>
        <v>Don't Watch</v>
      </c>
      <c r="M518" s="3"/>
      <c r="N518" s="3" t="str">
        <f t="shared" si="35"/>
        <v>Maybe</v>
      </c>
      <c r="O518" t="s">
        <v>1523</v>
      </c>
      <c r="P518" t="b">
        <f t="shared" si="36"/>
        <v>0</v>
      </c>
    </row>
    <row r="519" spans="1:16" x14ac:dyDescent="0.25">
      <c r="A519">
        <v>518</v>
      </c>
      <c r="B519" t="s">
        <v>1524</v>
      </c>
      <c r="C519">
        <v>-2000</v>
      </c>
      <c r="D519">
        <v>15</v>
      </c>
      <c r="E519" t="s">
        <v>655</v>
      </c>
      <c r="F519" t="s">
        <v>144</v>
      </c>
      <c r="G519">
        <v>7.9</v>
      </c>
      <c r="H519">
        <v>80</v>
      </c>
      <c r="I519" t="s">
        <v>1525</v>
      </c>
      <c r="J519" s="3">
        <v>52656</v>
      </c>
      <c r="K519" s="3" t="str">
        <f t="shared" ref="K519:K582" si="37">IF(G519&lt;7.9, "Don't Watch", IF(G519&gt;8, "Must Watch", "Maybe"))</f>
        <v>Maybe</v>
      </c>
      <c r="L519" s="3" t="str">
        <f t="shared" si="34"/>
        <v>Don't Watch</v>
      </c>
      <c r="M519" s="3"/>
      <c r="N519" s="3" t="str">
        <f t="shared" si="35"/>
        <v>Maybe</v>
      </c>
      <c r="O519" t="s">
        <v>401</v>
      </c>
      <c r="P519" t="b">
        <f t="shared" si="36"/>
        <v>0</v>
      </c>
    </row>
    <row r="520" spans="1:16" x14ac:dyDescent="0.25">
      <c r="A520">
        <v>519</v>
      </c>
      <c r="B520" t="s">
        <v>1526</v>
      </c>
      <c r="C520">
        <v>-2006</v>
      </c>
      <c r="D520">
        <v>15</v>
      </c>
      <c r="E520" t="s">
        <v>241</v>
      </c>
      <c r="F520" t="s">
        <v>595</v>
      </c>
      <c r="G520">
        <v>7.9</v>
      </c>
      <c r="H520">
        <v>84</v>
      </c>
      <c r="I520" t="s">
        <v>1511</v>
      </c>
      <c r="J520" s="3">
        <v>494064</v>
      </c>
      <c r="K520" s="3" t="str">
        <f t="shared" si="37"/>
        <v>Maybe</v>
      </c>
      <c r="L520" s="3" t="str">
        <f t="shared" si="34"/>
        <v>Don't Watch</v>
      </c>
      <c r="M520" s="3"/>
      <c r="N520" s="3" t="str">
        <f t="shared" si="35"/>
        <v>Maybe</v>
      </c>
      <c r="O520" t="s">
        <v>1527</v>
      </c>
      <c r="P520" t="b">
        <f t="shared" si="36"/>
        <v>0</v>
      </c>
    </row>
    <row r="521" spans="1:16" x14ac:dyDescent="0.25">
      <c r="A521">
        <v>520</v>
      </c>
      <c r="B521" t="s">
        <v>1528</v>
      </c>
      <c r="C521">
        <v>-2000</v>
      </c>
      <c r="D521">
        <v>12</v>
      </c>
      <c r="E521" t="s">
        <v>811</v>
      </c>
      <c r="F521" t="s">
        <v>37</v>
      </c>
      <c r="G521">
        <v>7.9</v>
      </c>
      <c r="H521">
        <v>94</v>
      </c>
      <c r="I521" t="s">
        <v>1487</v>
      </c>
      <c r="J521" s="3">
        <v>266856</v>
      </c>
      <c r="K521" s="3" t="str">
        <f t="shared" si="37"/>
        <v>Maybe</v>
      </c>
      <c r="L521" s="3" t="str">
        <f t="shared" si="34"/>
        <v>Don't Watch</v>
      </c>
      <c r="M521" s="3"/>
      <c r="N521" s="3" t="str">
        <f t="shared" si="35"/>
        <v>Maybe</v>
      </c>
      <c r="O521" t="s">
        <v>1529</v>
      </c>
      <c r="P521" t="b">
        <f t="shared" si="36"/>
        <v>0</v>
      </c>
    </row>
    <row r="522" spans="1:16" x14ac:dyDescent="0.25">
      <c r="A522">
        <v>521</v>
      </c>
      <c r="B522" t="s">
        <v>1530</v>
      </c>
      <c r="C522">
        <v>-2000</v>
      </c>
      <c r="D522">
        <v>15</v>
      </c>
      <c r="E522" t="s">
        <v>268</v>
      </c>
      <c r="F522" t="s">
        <v>714</v>
      </c>
      <c r="G522">
        <v>7.9</v>
      </c>
      <c r="H522">
        <v>90</v>
      </c>
      <c r="I522" t="s">
        <v>1531</v>
      </c>
      <c r="J522" s="3">
        <v>273240</v>
      </c>
      <c r="K522" s="3" t="str">
        <f t="shared" si="37"/>
        <v>Maybe</v>
      </c>
      <c r="L522" s="3" t="str">
        <f t="shared" si="34"/>
        <v>Don't Watch</v>
      </c>
      <c r="M522" s="3"/>
      <c r="N522" s="3" t="str">
        <f t="shared" si="35"/>
        <v>Maybe</v>
      </c>
      <c r="O522" t="s">
        <v>1532</v>
      </c>
      <c r="P522" t="b">
        <f t="shared" si="36"/>
        <v>0</v>
      </c>
    </row>
    <row r="523" spans="1:16" x14ac:dyDescent="0.25">
      <c r="A523">
        <v>522</v>
      </c>
      <c r="B523" t="s">
        <v>1533</v>
      </c>
      <c r="C523">
        <v>-2000</v>
      </c>
      <c r="D523">
        <v>15</v>
      </c>
      <c r="E523" t="s">
        <v>561</v>
      </c>
      <c r="F523" t="s">
        <v>1534</v>
      </c>
      <c r="G523">
        <v>7.9</v>
      </c>
      <c r="H523">
        <v>61</v>
      </c>
      <c r="I523" t="s">
        <v>1197</v>
      </c>
      <c r="J523" s="3">
        <v>109101</v>
      </c>
      <c r="K523" s="3" t="str">
        <f t="shared" si="37"/>
        <v>Maybe</v>
      </c>
      <c r="L523" s="3" t="str">
        <f t="shared" si="34"/>
        <v>Don't Watch</v>
      </c>
      <c r="M523" s="3"/>
      <c r="N523" s="3" t="str">
        <f t="shared" si="35"/>
        <v>Maybe</v>
      </c>
      <c r="O523" t="s">
        <v>1535</v>
      </c>
      <c r="P523" t="b">
        <f t="shared" si="36"/>
        <v>0</v>
      </c>
    </row>
    <row r="524" spans="1:16" x14ac:dyDescent="0.25">
      <c r="A524">
        <v>523</v>
      </c>
      <c r="B524" t="s">
        <v>1536</v>
      </c>
      <c r="C524">
        <v>-2001</v>
      </c>
      <c r="D524">
        <v>15</v>
      </c>
      <c r="E524" t="s">
        <v>228</v>
      </c>
      <c r="F524" t="s">
        <v>317</v>
      </c>
      <c r="G524">
        <v>7.9</v>
      </c>
      <c r="H524">
        <v>85</v>
      </c>
      <c r="I524" t="s">
        <v>653</v>
      </c>
      <c r="J524" s="3">
        <v>349617</v>
      </c>
      <c r="K524" s="3" t="str">
        <f t="shared" si="37"/>
        <v>Maybe</v>
      </c>
      <c r="L524" s="3" t="str">
        <f t="shared" si="34"/>
        <v>Don't Watch</v>
      </c>
      <c r="M524" s="3"/>
      <c r="N524" s="3" t="str">
        <f t="shared" si="35"/>
        <v>Maybe</v>
      </c>
      <c r="O524" t="s">
        <v>1537</v>
      </c>
      <c r="P524" t="b">
        <f t="shared" si="36"/>
        <v>0</v>
      </c>
    </row>
    <row r="525" spans="1:16" x14ac:dyDescent="0.25">
      <c r="A525">
        <v>524</v>
      </c>
      <c r="B525" t="s">
        <v>1538</v>
      </c>
      <c r="C525">
        <v>-2001</v>
      </c>
      <c r="D525" t="s">
        <v>49</v>
      </c>
      <c r="E525" t="s">
        <v>1244</v>
      </c>
      <c r="F525" t="s">
        <v>292</v>
      </c>
      <c r="G525">
        <v>7.9</v>
      </c>
      <c r="H525">
        <v>84</v>
      </c>
      <c r="I525" t="s">
        <v>1539</v>
      </c>
      <c r="J525" s="3">
        <v>663224</v>
      </c>
      <c r="K525" s="3" t="str">
        <f t="shared" si="37"/>
        <v>Maybe</v>
      </c>
      <c r="L525" s="3" t="str">
        <f t="shared" si="34"/>
        <v>Don't Watch</v>
      </c>
      <c r="M525" s="3"/>
      <c r="N525" s="3" t="str">
        <f t="shared" si="35"/>
        <v>Maybe</v>
      </c>
      <c r="O525" t="s">
        <v>1540</v>
      </c>
      <c r="P525" t="b">
        <f t="shared" si="36"/>
        <v>0</v>
      </c>
    </row>
    <row r="526" spans="1:16" x14ac:dyDescent="0.25">
      <c r="A526">
        <v>525</v>
      </c>
      <c r="B526" t="s">
        <v>1541</v>
      </c>
      <c r="C526">
        <v>-1999</v>
      </c>
      <c r="D526" t="s">
        <v>49</v>
      </c>
      <c r="E526" t="s">
        <v>827</v>
      </c>
      <c r="F526" t="s">
        <v>292</v>
      </c>
      <c r="G526">
        <v>7.9</v>
      </c>
      <c r="H526">
        <v>88</v>
      </c>
      <c r="I526" t="s">
        <v>430</v>
      </c>
      <c r="J526" s="3">
        <v>569869</v>
      </c>
      <c r="K526" s="3" t="str">
        <f t="shared" si="37"/>
        <v>Maybe</v>
      </c>
      <c r="L526" s="3" t="str">
        <f t="shared" si="34"/>
        <v>Don't Watch</v>
      </c>
      <c r="M526" s="3"/>
      <c r="N526" s="3" t="str">
        <f t="shared" si="35"/>
        <v>Maybe</v>
      </c>
      <c r="O526" t="s">
        <v>1542</v>
      </c>
      <c r="P526" t="b">
        <f t="shared" si="36"/>
        <v>0</v>
      </c>
    </row>
    <row r="527" spans="1:16" x14ac:dyDescent="0.25">
      <c r="A527">
        <v>526</v>
      </c>
      <c r="B527" t="s">
        <v>1543</v>
      </c>
      <c r="C527">
        <v>-1997</v>
      </c>
      <c r="D527">
        <v>12</v>
      </c>
      <c r="E527" t="s">
        <v>1544</v>
      </c>
      <c r="F527" t="s">
        <v>78</v>
      </c>
      <c r="G527">
        <v>7.9</v>
      </c>
      <c r="H527">
        <v>75</v>
      </c>
      <c r="I527" t="s">
        <v>140</v>
      </c>
      <c r="J527" s="3">
        <v>1141533</v>
      </c>
      <c r="K527" s="3" t="str">
        <f t="shared" si="37"/>
        <v>Maybe</v>
      </c>
      <c r="L527" s="3" t="str">
        <f t="shared" si="34"/>
        <v>Don't Watch</v>
      </c>
      <c r="M527" s="3"/>
      <c r="N527" s="3" t="str">
        <f t="shared" si="35"/>
        <v>Maybe</v>
      </c>
      <c r="O527" t="s">
        <v>1545</v>
      </c>
      <c r="P527" t="b">
        <f t="shared" si="36"/>
        <v>0</v>
      </c>
    </row>
    <row r="528" spans="1:16" x14ac:dyDescent="0.25">
      <c r="A528">
        <v>527</v>
      </c>
      <c r="B528" t="s">
        <v>1546</v>
      </c>
      <c r="C528">
        <v>-1997</v>
      </c>
      <c r="E528" t="s">
        <v>254</v>
      </c>
      <c r="F528" t="s">
        <v>1547</v>
      </c>
      <c r="G528">
        <v>7.9</v>
      </c>
      <c r="I528" t="s">
        <v>1548</v>
      </c>
      <c r="J528" s="3">
        <v>30288</v>
      </c>
      <c r="K528" s="3" t="str">
        <f t="shared" si="37"/>
        <v>Maybe</v>
      </c>
      <c r="L528" s="3" t="str">
        <f t="shared" si="34"/>
        <v>Don't Watch</v>
      </c>
      <c r="M528" s="3"/>
      <c r="N528" s="3" t="str">
        <f t="shared" si="35"/>
        <v>Maybe</v>
      </c>
      <c r="O528" t="s">
        <v>1549</v>
      </c>
      <c r="P528" t="b">
        <f t="shared" si="36"/>
        <v>0</v>
      </c>
    </row>
    <row r="529" spans="1:16" x14ac:dyDescent="0.25">
      <c r="A529">
        <v>528</v>
      </c>
      <c r="B529" t="s">
        <v>1550</v>
      </c>
      <c r="C529">
        <v>-1997</v>
      </c>
      <c r="D529">
        <v>18</v>
      </c>
      <c r="E529" t="s">
        <v>198</v>
      </c>
      <c r="F529" t="s">
        <v>20</v>
      </c>
      <c r="G529">
        <v>7.9</v>
      </c>
      <c r="H529">
        <v>85</v>
      </c>
      <c r="I529" t="s">
        <v>588</v>
      </c>
      <c r="J529" s="3">
        <v>261028</v>
      </c>
      <c r="K529" s="3" t="str">
        <f t="shared" si="37"/>
        <v>Maybe</v>
      </c>
      <c r="L529" s="3" t="str">
        <f t="shared" si="34"/>
        <v>Don't Watch</v>
      </c>
      <c r="M529" s="3"/>
      <c r="N529" s="3" t="str">
        <f t="shared" si="35"/>
        <v>Maybe</v>
      </c>
      <c r="O529" t="s">
        <v>1551</v>
      </c>
      <c r="P529" t="b">
        <f t="shared" si="36"/>
        <v>0</v>
      </c>
    </row>
    <row r="530" spans="1:16" x14ac:dyDescent="0.25">
      <c r="A530">
        <v>529</v>
      </c>
      <c r="B530" t="s">
        <v>1552</v>
      </c>
      <c r="C530">
        <v>-1995</v>
      </c>
      <c r="D530" t="s">
        <v>49</v>
      </c>
      <c r="E530" t="s">
        <v>610</v>
      </c>
      <c r="F530" t="s">
        <v>779</v>
      </c>
      <c r="G530">
        <v>7.9</v>
      </c>
      <c r="H530">
        <v>75</v>
      </c>
      <c r="I530" t="s">
        <v>1553</v>
      </c>
      <c r="J530" s="3">
        <v>61260</v>
      </c>
      <c r="K530" s="3" t="str">
        <f t="shared" si="37"/>
        <v>Maybe</v>
      </c>
      <c r="L530" s="3" t="str">
        <f t="shared" si="34"/>
        <v>Don't Watch</v>
      </c>
      <c r="M530" s="3"/>
      <c r="N530" s="3" t="str">
        <f t="shared" si="35"/>
        <v>Maybe</v>
      </c>
      <c r="P530" t="b">
        <f t="shared" si="36"/>
        <v>0</v>
      </c>
    </row>
    <row r="531" spans="1:16" x14ac:dyDescent="0.25">
      <c r="A531">
        <v>530</v>
      </c>
      <c r="B531" t="s">
        <v>1554</v>
      </c>
      <c r="C531">
        <v>-1995</v>
      </c>
      <c r="D531">
        <v>15</v>
      </c>
      <c r="E531" t="s">
        <v>1555</v>
      </c>
      <c r="F531" t="s">
        <v>1556</v>
      </c>
      <c r="G531">
        <v>7.9</v>
      </c>
      <c r="H531">
        <v>76</v>
      </c>
      <c r="I531" t="s">
        <v>1557</v>
      </c>
      <c r="J531" s="3">
        <v>141005</v>
      </c>
      <c r="K531" s="3" t="str">
        <f t="shared" si="37"/>
        <v>Maybe</v>
      </c>
      <c r="L531" s="3" t="str">
        <f t="shared" si="34"/>
        <v>Don't Watch</v>
      </c>
      <c r="M531" s="3"/>
      <c r="N531" s="3" t="str">
        <f t="shared" si="35"/>
        <v>Maybe</v>
      </c>
      <c r="O531" t="s">
        <v>1558</v>
      </c>
      <c r="P531" t="b">
        <f t="shared" si="36"/>
        <v>0</v>
      </c>
    </row>
    <row r="532" spans="1:16" x14ac:dyDescent="0.25">
      <c r="A532">
        <v>531</v>
      </c>
      <c r="B532" t="s">
        <v>1559</v>
      </c>
      <c r="C532">
        <v>-1994</v>
      </c>
      <c r="D532">
        <v>18</v>
      </c>
      <c r="E532" t="s">
        <v>249</v>
      </c>
      <c r="F532" t="s">
        <v>26</v>
      </c>
      <c r="G532">
        <v>7.9</v>
      </c>
      <c r="H532">
        <v>77</v>
      </c>
      <c r="I532" t="s">
        <v>1560</v>
      </c>
      <c r="J532" s="3">
        <v>34110</v>
      </c>
      <c r="K532" s="3" t="str">
        <f t="shared" si="37"/>
        <v>Maybe</v>
      </c>
      <c r="L532" s="3" t="str">
        <f t="shared" si="34"/>
        <v>Don't Watch</v>
      </c>
      <c r="M532" s="3"/>
      <c r="N532" s="3" t="str">
        <f t="shared" si="35"/>
        <v>Maybe</v>
      </c>
      <c r="O532" t="s">
        <v>840</v>
      </c>
      <c r="P532" t="b">
        <f t="shared" si="36"/>
        <v>0</v>
      </c>
    </row>
    <row r="533" spans="1:16" x14ac:dyDescent="0.25">
      <c r="A533">
        <v>532</v>
      </c>
      <c r="B533" t="s">
        <v>1561</v>
      </c>
      <c r="C533">
        <v>-1993</v>
      </c>
      <c r="D533">
        <v>18</v>
      </c>
      <c r="E533" t="s">
        <v>202</v>
      </c>
      <c r="F533" t="s">
        <v>1132</v>
      </c>
      <c r="G533">
        <v>7.9</v>
      </c>
      <c r="H533">
        <v>59</v>
      </c>
      <c r="I533" t="s">
        <v>1562</v>
      </c>
      <c r="J533" s="3">
        <v>224178</v>
      </c>
      <c r="K533" s="3" t="str">
        <f t="shared" si="37"/>
        <v>Maybe</v>
      </c>
      <c r="L533" s="3" t="str">
        <f t="shared" si="34"/>
        <v>Don't Watch</v>
      </c>
      <c r="M533" s="3"/>
      <c r="N533" s="3" t="str">
        <f t="shared" si="35"/>
        <v>Maybe</v>
      </c>
      <c r="O533" t="s">
        <v>1563</v>
      </c>
      <c r="P533" t="b">
        <f t="shared" si="36"/>
        <v>0</v>
      </c>
    </row>
    <row r="534" spans="1:16" x14ac:dyDescent="0.25">
      <c r="A534">
        <v>533</v>
      </c>
      <c r="B534" t="s">
        <v>1564</v>
      </c>
      <c r="C534">
        <v>-1993</v>
      </c>
      <c r="D534">
        <v>15</v>
      </c>
      <c r="E534" t="s">
        <v>1057</v>
      </c>
      <c r="F534" t="s">
        <v>1565</v>
      </c>
      <c r="G534">
        <v>7.9</v>
      </c>
      <c r="H534">
        <v>85</v>
      </c>
      <c r="I534" t="s">
        <v>911</v>
      </c>
      <c r="J534" s="3">
        <v>100619</v>
      </c>
      <c r="K534" s="3" t="str">
        <f t="shared" si="37"/>
        <v>Maybe</v>
      </c>
      <c r="L534" s="3" t="str">
        <f t="shared" si="34"/>
        <v>Don't Watch</v>
      </c>
      <c r="M534" s="3"/>
      <c r="N534" s="3" t="str">
        <f t="shared" si="35"/>
        <v>Maybe</v>
      </c>
      <c r="O534" t="s">
        <v>1566</v>
      </c>
      <c r="P534" t="b">
        <f t="shared" si="36"/>
        <v>0</v>
      </c>
    </row>
    <row r="535" spans="1:16" x14ac:dyDescent="0.25">
      <c r="A535">
        <v>534</v>
      </c>
      <c r="B535" t="s">
        <v>1567</v>
      </c>
      <c r="C535">
        <v>-1993</v>
      </c>
      <c r="D535" t="s">
        <v>74</v>
      </c>
      <c r="E535" t="s">
        <v>1568</v>
      </c>
      <c r="F535" t="s">
        <v>1252</v>
      </c>
      <c r="G535">
        <v>7.9</v>
      </c>
      <c r="H535">
        <v>82</v>
      </c>
      <c r="I535" t="s">
        <v>1569</v>
      </c>
      <c r="J535" s="3">
        <v>328243</v>
      </c>
      <c r="K535" s="3" t="str">
        <f t="shared" si="37"/>
        <v>Maybe</v>
      </c>
      <c r="L535" s="3" t="str">
        <f t="shared" si="34"/>
        <v>Don't Watch</v>
      </c>
      <c r="M535" s="3"/>
      <c r="N535" s="3" t="str">
        <f t="shared" si="35"/>
        <v>Maybe</v>
      </c>
      <c r="O535" t="s">
        <v>1570</v>
      </c>
      <c r="P535" t="b">
        <f t="shared" si="36"/>
        <v>0</v>
      </c>
    </row>
    <row r="536" spans="1:16" x14ac:dyDescent="0.25">
      <c r="A536">
        <v>535</v>
      </c>
      <c r="B536" t="s">
        <v>1571</v>
      </c>
      <c r="C536">
        <v>-1993</v>
      </c>
      <c r="D536">
        <v>18</v>
      </c>
      <c r="E536" t="s">
        <v>1072</v>
      </c>
      <c r="F536" t="s">
        <v>144</v>
      </c>
      <c r="G536">
        <v>7.9</v>
      </c>
      <c r="H536">
        <v>65</v>
      </c>
      <c r="I536" t="s">
        <v>446</v>
      </c>
      <c r="J536" s="3">
        <v>215345</v>
      </c>
      <c r="K536" s="3" t="str">
        <f t="shared" si="37"/>
        <v>Maybe</v>
      </c>
      <c r="L536" s="3" t="str">
        <f t="shared" si="34"/>
        <v>Don't Watch</v>
      </c>
      <c r="M536" s="3"/>
      <c r="N536" s="3" t="str">
        <f t="shared" si="35"/>
        <v>Maybe</v>
      </c>
      <c r="O536" t="s">
        <v>1572</v>
      </c>
      <c r="P536" t="b">
        <f t="shared" si="36"/>
        <v>0</v>
      </c>
    </row>
    <row r="537" spans="1:16" x14ac:dyDescent="0.25">
      <c r="A537">
        <v>536</v>
      </c>
      <c r="B537" t="s">
        <v>1573</v>
      </c>
      <c r="C537">
        <v>-1993</v>
      </c>
      <c r="D537">
        <v>18</v>
      </c>
      <c r="E537" t="s">
        <v>579</v>
      </c>
      <c r="F537" t="s">
        <v>26</v>
      </c>
      <c r="G537">
        <v>7.9</v>
      </c>
      <c r="H537">
        <v>47</v>
      </c>
      <c r="I537" t="s">
        <v>1574</v>
      </c>
      <c r="J537" s="3">
        <v>31180</v>
      </c>
      <c r="K537" s="3" t="str">
        <f t="shared" si="37"/>
        <v>Maybe</v>
      </c>
      <c r="L537" s="3" t="str">
        <f t="shared" si="34"/>
        <v>Don't Watch</v>
      </c>
      <c r="M537" s="3"/>
      <c r="N537" s="3" t="str">
        <f t="shared" si="35"/>
        <v>Maybe</v>
      </c>
      <c r="O537" t="s">
        <v>1575</v>
      </c>
      <c r="P537" t="b">
        <f t="shared" si="36"/>
        <v>0</v>
      </c>
    </row>
    <row r="538" spans="1:16" x14ac:dyDescent="0.25">
      <c r="A538">
        <v>537</v>
      </c>
      <c r="B538" t="s">
        <v>1576</v>
      </c>
      <c r="C538">
        <v>-1990</v>
      </c>
      <c r="D538" t="s">
        <v>49</v>
      </c>
      <c r="E538" t="s">
        <v>291</v>
      </c>
      <c r="F538" t="s">
        <v>1267</v>
      </c>
      <c r="G538">
        <v>7.9</v>
      </c>
      <c r="H538">
        <v>74</v>
      </c>
      <c r="I538" t="s">
        <v>1190</v>
      </c>
      <c r="J538" s="3">
        <v>481156</v>
      </c>
      <c r="K538" s="3" t="str">
        <f t="shared" si="37"/>
        <v>Maybe</v>
      </c>
      <c r="L538" s="3" t="str">
        <f t="shared" si="34"/>
        <v>Don't Watch</v>
      </c>
      <c r="M538" s="3"/>
      <c r="N538" s="3" t="str">
        <f t="shared" si="35"/>
        <v>Maybe</v>
      </c>
      <c r="O538" t="s">
        <v>1577</v>
      </c>
      <c r="P538" t="b">
        <f t="shared" si="36"/>
        <v>0</v>
      </c>
    </row>
    <row r="539" spans="1:16" x14ac:dyDescent="0.25">
      <c r="A539">
        <v>538</v>
      </c>
      <c r="B539" t="s">
        <v>1578</v>
      </c>
      <c r="C539">
        <v>-1989</v>
      </c>
      <c r="D539">
        <v>15</v>
      </c>
      <c r="E539" t="s">
        <v>403</v>
      </c>
      <c r="F539" t="s">
        <v>606</v>
      </c>
      <c r="G539">
        <v>7.9</v>
      </c>
      <c r="H539">
        <v>97</v>
      </c>
      <c r="I539" t="s">
        <v>914</v>
      </c>
      <c r="J539" s="3">
        <v>73775</v>
      </c>
      <c r="K539" s="3" t="str">
        <f t="shared" si="37"/>
        <v>Maybe</v>
      </c>
      <c r="L539" s="3" t="str">
        <f t="shared" si="34"/>
        <v>Don't Watch</v>
      </c>
      <c r="M539" s="3"/>
      <c r="N539" s="3" t="str">
        <f t="shared" si="35"/>
        <v>Maybe</v>
      </c>
      <c r="O539" t="s">
        <v>1579</v>
      </c>
      <c r="P539" t="b">
        <f t="shared" si="36"/>
        <v>0</v>
      </c>
    </row>
    <row r="540" spans="1:16" x14ac:dyDescent="0.25">
      <c r="A540">
        <v>539</v>
      </c>
      <c r="B540" t="s">
        <v>1580</v>
      </c>
      <c r="C540">
        <v>-1989</v>
      </c>
      <c r="D540">
        <v>18</v>
      </c>
      <c r="E540" t="s">
        <v>811</v>
      </c>
      <c r="F540" t="s">
        <v>304</v>
      </c>
      <c r="G540">
        <v>7.9</v>
      </c>
      <c r="H540">
        <v>93</v>
      </c>
      <c r="I540" t="s">
        <v>1581</v>
      </c>
      <c r="J540" s="3">
        <v>100836</v>
      </c>
      <c r="K540" s="3" t="str">
        <f t="shared" si="37"/>
        <v>Maybe</v>
      </c>
      <c r="L540" s="3" t="str">
        <f t="shared" si="34"/>
        <v>Don't Watch</v>
      </c>
      <c r="M540" s="3"/>
      <c r="N540" s="3" t="str">
        <f t="shared" si="35"/>
        <v>Maybe</v>
      </c>
      <c r="O540" t="s">
        <v>1582</v>
      </c>
      <c r="P540" t="b">
        <f t="shared" si="36"/>
        <v>0</v>
      </c>
    </row>
    <row r="541" spans="1:16" x14ac:dyDescent="0.25">
      <c r="A541">
        <v>540</v>
      </c>
      <c r="B541" t="s">
        <v>1583</v>
      </c>
      <c r="C541">
        <v>-1987</v>
      </c>
      <c r="D541">
        <v>15</v>
      </c>
      <c r="E541" t="s">
        <v>202</v>
      </c>
      <c r="F541" t="s">
        <v>144</v>
      </c>
      <c r="G541">
        <v>7.9</v>
      </c>
      <c r="H541">
        <v>79</v>
      </c>
      <c r="I541" t="s">
        <v>446</v>
      </c>
      <c r="J541" s="3">
        <v>305096</v>
      </c>
      <c r="K541" s="3" t="str">
        <f t="shared" si="37"/>
        <v>Maybe</v>
      </c>
      <c r="L541" s="3" t="str">
        <f t="shared" si="34"/>
        <v>Don't Watch</v>
      </c>
      <c r="M541" s="3"/>
      <c r="N541" s="3" t="str">
        <f t="shared" si="35"/>
        <v>Maybe</v>
      </c>
      <c r="O541" t="s">
        <v>1584</v>
      </c>
      <c r="P541" t="b">
        <f t="shared" si="36"/>
        <v>0</v>
      </c>
    </row>
    <row r="542" spans="1:16" x14ac:dyDescent="0.25">
      <c r="A542">
        <v>541</v>
      </c>
      <c r="B542" t="s">
        <v>1585</v>
      </c>
      <c r="C542">
        <v>-1986</v>
      </c>
      <c r="D542" t="s">
        <v>30</v>
      </c>
      <c r="E542" t="s">
        <v>287</v>
      </c>
      <c r="F542" t="s">
        <v>20</v>
      </c>
      <c r="G542">
        <v>7.9</v>
      </c>
      <c r="I542" t="s">
        <v>957</v>
      </c>
      <c r="J542" s="3">
        <v>27990</v>
      </c>
      <c r="K542" s="3" t="str">
        <f t="shared" si="37"/>
        <v>Maybe</v>
      </c>
      <c r="L542" s="3" t="str">
        <f t="shared" si="34"/>
        <v>Don't Watch</v>
      </c>
      <c r="M542" s="3"/>
      <c r="N542" s="3" t="str">
        <f t="shared" si="35"/>
        <v>Maybe</v>
      </c>
      <c r="O542" t="s">
        <v>869</v>
      </c>
      <c r="P542" t="b">
        <f t="shared" si="36"/>
        <v>0</v>
      </c>
    </row>
    <row r="543" spans="1:16" x14ac:dyDescent="0.25">
      <c r="A543">
        <v>542</v>
      </c>
      <c r="B543" t="s">
        <v>1586</v>
      </c>
      <c r="C543">
        <v>-1986</v>
      </c>
      <c r="D543">
        <v>15</v>
      </c>
      <c r="E543" t="s">
        <v>493</v>
      </c>
      <c r="F543" t="s">
        <v>304</v>
      </c>
      <c r="G543">
        <v>7.9</v>
      </c>
      <c r="H543">
        <v>90</v>
      </c>
      <c r="I543" t="s">
        <v>1294</v>
      </c>
      <c r="J543" s="3">
        <v>71178</v>
      </c>
      <c r="K543" s="3" t="str">
        <f t="shared" si="37"/>
        <v>Maybe</v>
      </c>
      <c r="L543" s="3" t="str">
        <f t="shared" si="34"/>
        <v>Don't Watch</v>
      </c>
      <c r="M543" s="3"/>
      <c r="N543" s="3" t="str">
        <f t="shared" si="35"/>
        <v>Maybe</v>
      </c>
      <c r="O543" t="s">
        <v>1587</v>
      </c>
      <c r="P543" t="b">
        <f t="shared" si="36"/>
        <v>0</v>
      </c>
    </row>
    <row r="544" spans="1:16" x14ac:dyDescent="0.25">
      <c r="A544">
        <v>543</v>
      </c>
      <c r="B544" t="s">
        <v>1588</v>
      </c>
      <c r="C544">
        <v>-1985</v>
      </c>
      <c r="D544">
        <v>15</v>
      </c>
      <c r="E544" t="s">
        <v>166</v>
      </c>
      <c r="F544" t="s">
        <v>504</v>
      </c>
      <c r="G544">
        <v>7.9</v>
      </c>
      <c r="H544">
        <v>84</v>
      </c>
      <c r="I544" t="s">
        <v>660</v>
      </c>
      <c r="J544" s="3">
        <v>199250</v>
      </c>
      <c r="K544" s="3" t="str">
        <f t="shared" si="37"/>
        <v>Maybe</v>
      </c>
      <c r="L544" s="3" t="str">
        <f t="shared" si="34"/>
        <v>Don't Watch</v>
      </c>
      <c r="M544" s="3"/>
      <c r="N544" s="3" t="str">
        <f t="shared" si="35"/>
        <v>Maybe</v>
      </c>
      <c r="O544" t="s">
        <v>1589</v>
      </c>
      <c r="P544" t="b">
        <f t="shared" si="36"/>
        <v>0</v>
      </c>
    </row>
    <row r="545" spans="1:16" x14ac:dyDescent="0.25">
      <c r="A545">
        <v>544</v>
      </c>
      <c r="B545" t="s">
        <v>1590</v>
      </c>
      <c r="C545">
        <v>-1984</v>
      </c>
      <c r="D545">
        <v>15</v>
      </c>
      <c r="E545" t="s">
        <v>1591</v>
      </c>
      <c r="F545" t="s">
        <v>1592</v>
      </c>
      <c r="G545">
        <v>7.9</v>
      </c>
      <c r="H545">
        <v>92</v>
      </c>
      <c r="I545" t="s">
        <v>935</v>
      </c>
      <c r="J545" s="3">
        <v>138745</v>
      </c>
      <c r="K545" s="3" t="str">
        <f t="shared" si="37"/>
        <v>Maybe</v>
      </c>
      <c r="L545" s="3" t="str">
        <f t="shared" si="34"/>
        <v>Don't Watch</v>
      </c>
      <c r="M545" s="3"/>
      <c r="N545" s="3" t="str">
        <f t="shared" si="35"/>
        <v>Maybe</v>
      </c>
      <c r="O545" t="s">
        <v>1593</v>
      </c>
      <c r="P545" t="b">
        <f t="shared" si="36"/>
        <v>0</v>
      </c>
    </row>
    <row r="546" spans="1:16" x14ac:dyDescent="0.25">
      <c r="A546">
        <v>545</v>
      </c>
      <c r="B546" t="s">
        <v>1594</v>
      </c>
      <c r="C546">
        <v>-1983</v>
      </c>
      <c r="D546" t="s">
        <v>74</v>
      </c>
      <c r="E546" t="s">
        <v>823</v>
      </c>
      <c r="F546" t="s">
        <v>1595</v>
      </c>
      <c r="G546">
        <v>7.9</v>
      </c>
      <c r="H546">
        <v>77</v>
      </c>
      <c r="I546" t="s">
        <v>1596</v>
      </c>
      <c r="J546" s="3">
        <v>146596</v>
      </c>
      <c r="K546" s="3" t="str">
        <f t="shared" si="37"/>
        <v>Maybe</v>
      </c>
      <c r="L546" s="3" t="str">
        <f t="shared" si="34"/>
        <v>Don't Watch</v>
      </c>
      <c r="M546" s="3"/>
      <c r="N546" s="3" t="str">
        <f t="shared" si="35"/>
        <v>Maybe</v>
      </c>
      <c r="O546" t="s">
        <v>1597</v>
      </c>
      <c r="P546" t="b">
        <f t="shared" si="36"/>
        <v>0</v>
      </c>
    </row>
    <row r="547" spans="1:16" x14ac:dyDescent="0.25">
      <c r="A547">
        <v>546</v>
      </c>
      <c r="B547" t="s">
        <v>1598</v>
      </c>
      <c r="C547">
        <v>-1982</v>
      </c>
      <c r="D547" t="s">
        <v>49</v>
      </c>
      <c r="E547" t="s">
        <v>342</v>
      </c>
      <c r="F547" t="s">
        <v>1599</v>
      </c>
      <c r="G547">
        <v>7.9</v>
      </c>
      <c r="H547">
        <v>91</v>
      </c>
      <c r="I547" t="s">
        <v>43</v>
      </c>
      <c r="J547" s="3">
        <v>401149</v>
      </c>
      <c r="K547" s="3" t="str">
        <f t="shared" si="37"/>
        <v>Maybe</v>
      </c>
      <c r="L547" s="3" t="str">
        <f t="shared" si="34"/>
        <v>Don't Watch</v>
      </c>
      <c r="M547" s="3"/>
      <c r="N547" s="3" t="str">
        <f t="shared" si="35"/>
        <v>Maybe</v>
      </c>
      <c r="O547" t="s">
        <v>1600</v>
      </c>
      <c r="P547" t="b">
        <f t="shared" si="36"/>
        <v>0</v>
      </c>
    </row>
    <row r="548" spans="1:16" x14ac:dyDescent="0.25">
      <c r="A548">
        <v>547</v>
      </c>
      <c r="B548" t="s">
        <v>1601</v>
      </c>
      <c r="C548">
        <v>-1980</v>
      </c>
      <c r="D548" t="s">
        <v>155</v>
      </c>
      <c r="E548" t="s">
        <v>579</v>
      </c>
      <c r="F548" t="s">
        <v>1602</v>
      </c>
      <c r="G548">
        <v>7.9</v>
      </c>
      <c r="H548">
        <v>84</v>
      </c>
      <c r="I548" t="s">
        <v>157</v>
      </c>
      <c r="J548" s="3">
        <v>35441</v>
      </c>
      <c r="K548" s="3" t="str">
        <f t="shared" si="37"/>
        <v>Maybe</v>
      </c>
      <c r="L548" s="3" t="str">
        <f t="shared" si="34"/>
        <v>Don't Watch</v>
      </c>
      <c r="M548" s="3"/>
      <c r="N548" s="3" t="str">
        <f t="shared" si="35"/>
        <v>Maybe</v>
      </c>
      <c r="P548" t="b">
        <f t="shared" si="36"/>
        <v>0</v>
      </c>
    </row>
    <row r="549" spans="1:16" x14ac:dyDescent="0.25">
      <c r="A549">
        <v>548</v>
      </c>
      <c r="B549" t="s">
        <v>1603</v>
      </c>
      <c r="C549">
        <v>-1980</v>
      </c>
      <c r="D549" t="s">
        <v>236</v>
      </c>
      <c r="E549" t="s">
        <v>104</v>
      </c>
      <c r="F549" t="s">
        <v>371</v>
      </c>
      <c r="G549">
        <v>7.9</v>
      </c>
      <c r="H549">
        <v>60</v>
      </c>
      <c r="I549" t="s">
        <v>1604</v>
      </c>
      <c r="J549" s="3">
        <v>196859</v>
      </c>
      <c r="K549" s="3" t="str">
        <f t="shared" si="37"/>
        <v>Maybe</v>
      </c>
      <c r="L549" s="3" t="str">
        <f t="shared" si="34"/>
        <v>Don't Watch</v>
      </c>
      <c r="M549" s="3"/>
      <c r="N549" s="3" t="str">
        <f t="shared" si="35"/>
        <v>Maybe</v>
      </c>
      <c r="O549" t="s">
        <v>1605</v>
      </c>
      <c r="P549" t="b">
        <f t="shared" si="36"/>
        <v>0</v>
      </c>
    </row>
    <row r="550" spans="1:16" x14ac:dyDescent="0.25">
      <c r="A550">
        <v>549</v>
      </c>
      <c r="B550" t="s">
        <v>1606</v>
      </c>
      <c r="C550">
        <v>-1979</v>
      </c>
      <c r="D550" t="s">
        <v>236</v>
      </c>
      <c r="E550" t="s">
        <v>50</v>
      </c>
      <c r="F550" t="s">
        <v>132</v>
      </c>
      <c r="G550">
        <v>7.9</v>
      </c>
      <c r="H550">
        <v>83</v>
      </c>
      <c r="I550" t="s">
        <v>1294</v>
      </c>
      <c r="J550" s="3">
        <v>139317</v>
      </c>
      <c r="K550" s="3" t="str">
        <f t="shared" si="37"/>
        <v>Maybe</v>
      </c>
      <c r="L550" s="3" t="str">
        <f t="shared" si="34"/>
        <v>Don't Watch</v>
      </c>
      <c r="M550" s="3"/>
      <c r="N550" s="3" t="str">
        <f t="shared" si="35"/>
        <v>Maybe</v>
      </c>
      <c r="O550" t="s">
        <v>1607</v>
      </c>
      <c r="P550" t="b">
        <f t="shared" si="36"/>
        <v>0</v>
      </c>
    </row>
    <row r="551" spans="1:16" x14ac:dyDescent="0.25">
      <c r="A551">
        <v>550</v>
      </c>
      <c r="B551" t="s">
        <v>1608</v>
      </c>
      <c r="C551">
        <v>-1976</v>
      </c>
      <c r="D551" t="s">
        <v>236</v>
      </c>
      <c r="E551" t="s">
        <v>515</v>
      </c>
      <c r="F551" t="s">
        <v>1248</v>
      </c>
      <c r="G551">
        <v>7.9</v>
      </c>
      <c r="H551">
        <v>84</v>
      </c>
      <c r="I551" t="s">
        <v>1609</v>
      </c>
      <c r="J551" s="3">
        <v>114078</v>
      </c>
      <c r="K551" s="3" t="str">
        <f t="shared" si="37"/>
        <v>Maybe</v>
      </c>
      <c r="L551" s="3" t="str">
        <f t="shared" si="34"/>
        <v>Don't Watch</v>
      </c>
      <c r="M551" s="3"/>
      <c r="N551" s="3" t="str">
        <f t="shared" si="35"/>
        <v>Maybe</v>
      </c>
      <c r="O551" t="s">
        <v>1610</v>
      </c>
      <c r="P551" t="b">
        <f t="shared" si="36"/>
        <v>0</v>
      </c>
    </row>
    <row r="552" spans="1:16" x14ac:dyDescent="0.25">
      <c r="A552">
        <v>551</v>
      </c>
      <c r="B552" t="s">
        <v>1611</v>
      </c>
      <c r="C552">
        <v>-1973</v>
      </c>
      <c r="D552" t="s">
        <v>24</v>
      </c>
      <c r="E552" t="s">
        <v>384</v>
      </c>
      <c r="F552" t="s">
        <v>304</v>
      </c>
      <c r="G552">
        <v>7.9</v>
      </c>
      <c r="I552" t="s">
        <v>1013</v>
      </c>
      <c r="J552" s="3">
        <v>43347</v>
      </c>
      <c r="K552" s="3" t="str">
        <f t="shared" si="37"/>
        <v>Maybe</v>
      </c>
      <c r="L552" s="3" t="str">
        <f t="shared" si="34"/>
        <v>Don't Watch</v>
      </c>
      <c r="M552" s="3"/>
      <c r="N552" s="3" t="str">
        <f t="shared" si="35"/>
        <v>Maybe</v>
      </c>
      <c r="O552" t="s">
        <v>1612</v>
      </c>
      <c r="P552" t="b">
        <f t="shared" si="36"/>
        <v>0</v>
      </c>
    </row>
    <row r="553" spans="1:16" x14ac:dyDescent="0.25">
      <c r="A553">
        <v>552</v>
      </c>
      <c r="B553" t="s">
        <v>1613</v>
      </c>
      <c r="C553">
        <v>-1971</v>
      </c>
      <c r="D553" t="s">
        <v>236</v>
      </c>
      <c r="E553" t="s">
        <v>658</v>
      </c>
      <c r="F553" t="s">
        <v>132</v>
      </c>
      <c r="G553">
        <v>7.9</v>
      </c>
      <c r="H553">
        <v>62</v>
      </c>
      <c r="I553" t="s">
        <v>1291</v>
      </c>
      <c r="J553" s="3">
        <v>76947</v>
      </c>
      <c r="K553" s="3" t="str">
        <f t="shared" si="37"/>
        <v>Maybe</v>
      </c>
      <c r="L553" s="3" t="str">
        <f t="shared" si="34"/>
        <v>Don't Watch</v>
      </c>
      <c r="M553" s="3"/>
      <c r="N553" s="3" t="str">
        <f t="shared" si="35"/>
        <v>Maybe</v>
      </c>
      <c r="P553" t="b">
        <f t="shared" si="36"/>
        <v>0</v>
      </c>
    </row>
    <row r="554" spans="1:16" x14ac:dyDescent="0.25">
      <c r="A554">
        <v>553</v>
      </c>
      <c r="B554" t="s">
        <v>1614</v>
      </c>
      <c r="C554">
        <v>-1970</v>
      </c>
      <c r="D554" t="s">
        <v>155</v>
      </c>
      <c r="E554" t="s">
        <v>671</v>
      </c>
      <c r="F554" t="s">
        <v>1615</v>
      </c>
      <c r="G554">
        <v>7.9</v>
      </c>
      <c r="H554">
        <v>91</v>
      </c>
      <c r="I554" t="s">
        <v>1304</v>
      </c>
      <c r="J554" s="3">
        <v>101431</v>
      </c>
      <c r="K554" s="3" t="str">
        <f t="shared" si="37"/>
        <v>Maybe</v>
      </c>
      <c r="L554" s="3" t="str">
        <f t="shared" si="34"/>
        <v>Don't Watch</v>
      </c>
      <c r="M554" s="3"/>
      <c r="N554" s="3" t="str">
        <f t="shared" si="35"/>
        <v>Maybe</v>
      </c>
      <c r="O554" t="s">
        <v>1616</v>
      </c>
      <c r="P554" t="b">
        <f t="shared" si="36"/>
        <v>0</v>
      </c>
    </row>
    <row r="555" spans="1:16" x14ac:dyDescent="0.25">
      <c r="A555">
        <v>554</v>
      </c>
      <c r="B555" t="s">
        <v>1617</v>
      </c>
      <c r="C555">
        <v>-1970</v>
      </c>
      <c r="D555" t="s">
        <v>24</v>
      </c>
      <c r="E555" t="s">
        <v>325</v>
      </c>
      <c r="F555" t="s">
        <v>20</v>
      </c>
      <c r="G555">
        <v>7.9</v>
      </c>
      <c r="H555">
        <v>100</v>
      </c>
      <c r="I555" t="s">
        <v>1618</v>
      </c>
      <c r="J555" s="3">
        <v>30206</v>
      </c>
      <c r="K555" s="3" t="str">
        <f t="shared" si="37"/>
        <v>Maybe</v>
      </c>
      <c r="L555" s="3" t="str">
        <f t="shared" si="34"/>
        <v>Don't Watch</v>
      </c>
      <c r="M555" s="3"/>
      <c r="N555" s="3" t="str">
        <f t="shared" si="35"/>
        <v>Maybe</v>
      </c>
      <c r="O555" t="s">
        <v>482</v>
      </c>
      <c r="P555" t="b">
        <f t="shared" si="36"/>
        <v>0</v>
      </c>
    </row>
    <row r="556" spans="1:16" x14ac:dyDescent="0.25">
      <c r="A556">
        <v>555</v>
      </c>
      <c r="B556" t="s">
        <v>1619</v>
      </c>
      <c r="C556">
        <v>-1969</v>
      </c>
      <c r="D556">
        <v>18</v>
      </c>
      <c r="E556" t="s">
        <v>94</v>
      </c>
      <c r="F556" t="s">
        <v>1620</v>
      </c>
      <c r="G556">
        <v>7.9</v>
      </c>
      <c r="H556">
        <v>97</v>
      </c>
      <c r="I556" t="s">
        <v>1621</v>
      </c>
      <c r="J556" s="3">
        <v>84111</v>
      </c>
      <c r="K556" s="3" t="str">
        <f t="shared" si="37"/>
        <v>Maybe</v>
      </c>
      <c r="L556" s="3" t="str">
        <f t="shared" si="34"/>
        <v>Don't Watch</v>
      </c>
      <c r="M556" s="3"/>
      <c r="N556" s="3" t="str">
        <f t="shared" si="35"/>
        <v>Maybe</v>
      </c>
      <c r="O556" t="s">
        <v>1622</v>
      </c>
      <c r="P556" t="b">
        <f t="shared" si="36"/>
        <v>0</v>
      </c>
    </row>
    <row r="557" spans="1:16" x14ac:dyDescent="0.25">
      <c r="A557">
        <v>556</v>
      </c>
      <c r="B557" t="s">
        <v>1623</v>
      </c>
      <c r="C557">
        <v>-1968</v>
      </c>
      <c r="D557" t="s">
        <v>155</v>
      </c>
      <c r="E557" t="s">
        <v>331</v>
      </c>
      <c r="F557" t="s">
        <v>42</v>
      </c>
      <c r="G557">
        <v>7.9</v>
      </c>
      <c r="I557" t="s">
        <v>1624</v>
      </c>
      <c r="J557" s="3">
        <v>31372</v>
      </c>
      <c r="K557" s="3" t="str">
        <f t="shared" si="37"/>
        <v>Maybe</v>
      </c>
      <c r="L557" s="3" t="str">
        <f t="shared" si="34"/>
        <v>Don't Watch</v>
      </c>
      <c r="M557" s="3"/>
      <c r="N557" s="3" t="str">
        <f t="shared" si="35"/>
        <v>Maybe</v>
      </c>
      <c r="O557" t="s">
        <v>1625</v>
      </c>
      <c r="P557" t="b">
        <f t="shared" si="36"/>
        <v>0</v>
      </c>
    </row>
    <row r="558" spans="1:16" x14ac:dyDescent="0.25">
      <c r="A558">
        <v>557</v>
      </c>
      <c r="B558" t="s">
        <v>1626</v>
      </c>
      <c r="C558">
        <v>-1967</v>
      </c>
      <c r="D558" t="s">
        <v>155</v>
      </c>
      <c r="E558" t="s">
        <v>209</v>
      </c>
      <c r="F558" t="s">
        <v>317</v>
      </c>
      <c r="G558">
        <v>7.9</v>
      </c>
      <c r="H558">
        <v>75</v>
      </c>
      <c r="I558" t="s">
        <v>1315</v>
      </c>
      <c r="J558" s="3">
        <v>75527</v>
      </c>
      <c r="K558" s="3" t="str">
        <f t="shared" si="37"/>
        <v>Maybe</v>
      </c>
      <c r="L558" s="3" t="str">
        <f t="shared" si="34"/>
        <v>Don't Watch</v>
      </c>
      <c r="M558" s="3"/>
      <c r="N558" s="3" t="str">
        <f t="shared" si="35"/>
        <v>Maybe</v>
      </c>
      <c r="O558" t="s">
        <v>1627</v>
      </c>
      <c r="P558" t="b">
        <f t="shared" si="36"/>
        <v>0</v>
      </c>
    </row>
    <row r="559" spans="1:16" x14ac:dyDescent="0.25">
      <c r="A559">
        <v>558</v>
      </c>
      <c r="B559" t="s">
        <v>1628</v>
      </c>
      <c r="C559">
        <v>-1967</v>
      </c>
      <c r="D559" t="s">
        <v>24</v>
      </c>
      <c r="E559" t="s">
        <v>331</v>
      </c>
      <c r="F559" t="s">
        <v>95</v>
      </c>
      <c r="G559">
        <v>7.9</v>
      </c>
      <c r="H559">
        <v>89</v>
      </c>
      <c r="I559" t="s">
        <v>1629</v>
      </c>
      <c r="J559" s="3">
        <v>26489</v>
      </c>
      <c r="K559" s="3" t="str">
        <f t="shared" si="37"/>
        <v>Maybe</v>
      </c>
      <c r="L559" s="3" t="str">
        <f t="shared" si="34"/>
        <v>Don't Watch</v>
      </c>
      <c r="M559" s="3"/>
      <c r="N559" s="3" t="str">
        <f t="shared" si="35"/>
        <v>Maybe</v>
      </c>
      <c r="P559" t="b">
        <f t="shared" si="36"/>
        <v>0</v>
      </c>
    </row>
    <row r="560" spans="1:16" x14ac:dyDescent="0.25">
      <c r="A560">
        <v>559</v>
      </c>
      <c r="B560" t="s">
        <v>1630</v>
      </c>
      <c r="C560">
        <v>-1965</v>
      </c>
      <c r="D560" t="s">
        <v>155</v>
      </c>
      <c r="E560" t="s">
        <v>1631</v>
      </c>
      <c r="F560" t="s">
        <v>250</v>
      </c>
      <c r="G560">
        <v>7.9</v>
      </c>
      <c r="H560">
        <v>69</v>
      </c>
      <c r="I560" t="s">
        <v>467</v>
      </c>
      <c r="J560" s="3">
        <v>76036</v>
      </c>
      <c r="K560" s="3" t="str">
        <f t="shared" si="37"/>
        <v>Maybe</v>
      </c>
      <c r="L560" s="3" t="str">
        <f t="shared" si="34"/>
        <v>Don't Watch</v>
      </c>
      <c r="M560" s="3"/>
      <c r="N560" s="3" t="str">
        <f t="shared" si="35"/>
        <v>Maybe</v>
      </c>
      <c r="O560" t="s">
        <v>1632</v>
      </c>
      <c r="P560" t="b">
        <f t="shared" si="36"/>
        <v>0</v>
      </c>
    </row>
    <row r="561" spans="1:16" x14ac:dyDescent="0.25">
      <c r="A561">
        <v>560</v>
      </c>
      <c r="B561" t="s">
        <v>1633</v>
      </c>
      <c r="C561">
        <v>-1964</v>
      </c>
      <c r="D561" t="s">
        <v>24</v>
      </c>
      <c r="E561" t="s">
        <v>436</v>
      </c>
      <c r="F561" t="s">
        <v>1634</v>
      </c>
      <c r="G561">
        <v>7.9</v>
      </c>
      <c r="H561">
        <v>65</v>
      </c>
      <c r="I561" t="s">
        <v>83</v>
      </c>
      <c r="J561" s="3">
        <v>214335</v>
      </c>
      <c r="K561" s="3" t="str">
        <f t="shared" si="37"/>
        <v>Maybe</v>
      </c>
      <c r="L561" s="3" t="str">
        <f t="shared" si="34"/>
        <v>Don't Watch</v>
      </c>
      <c r="M561" s="3"/>
      <c r="N561" s="3" t="str">
        <f t="shared" si="35"/>
        <v>Maybe</v>
      </c>
      <c r="O561" t="s">
        <v>1635</v>
      </c>
      <c r="P561" t="b">
        <f t="shared" si="36"/>
        <v>0</v>
      </c>
    </row>
    <row r="562" spans="1:16" x14ac:dyDescent="0.25">
      <c r="A562">
        <v>561</v>
      </c>
      <c r="B562" t="s">
        <v>1636</v>
      </c>
      <c r="C562">
        <v>-1963</v>
      </c>
      <c r="D562" t="s">
        <v>74</v>
      </c>
      <c r="E562" t="s">
        <v>325</v>
      </c>
      <c r="F562" t="s">
        <v>1637</v>
      </c>
      <c r="G562">
        <v>7.9</v>
      </c>
      <c r="H562">
        <v>83</v>
      </c>
      <c r="I562" t="s">
        <v>485</v>
      </c>
      <c r="J562" s="3">
        <v>76464</v>
      </c>
      <c r="K562" s="3" t="str">
        <f t="shared" si="37"/>
        <v>Maybe</v>
      </c>
      <c r="L562" s="3" t="str">
        <f t="shared" si="34"/>
        <v>Don't Watch</v>
      </c>
      <c r="M562" s="3"/>
      <c r="N562" s="3" t="str">
        <f t="shared" si="35"/>
        <v>Maybe</v>
      </c>
      <c r="O562" t="s">
        <v>1638</v>
      </c>
      <c r="P562" t="b">
        <f t="shared" si="36"/>
        <v>0</v>
      </c>
    </row>
    <row r="563" spans="1:16" x14ac:dyDescent="0.25">
      <c r="A563">
        <v>562</v>
      </c>
      <c r="B563" t="s">
        <v>1639</v>
      </c>
      <c r="C563">
        <v>-1962</v>
      </c>
      <c r="D563" t="s">
        <v>24</v>
      </c>
      <c r="E563" t="s">
        <v>1555</v>
      </c>
      <c r="F563" t="s">
        <v>20</v>
      </c>
      <c r="G563">
        <v>7.9</v>
      </c>
      <c r="I563" t="s">
        <v>1640</v>
      </c>
      <c r="J563" s="3">
        <v>31384</v>
      </c>
      <c r="K563" s="3" t="str">
        <f t="shared" si="37"/>
        <v>Maybe</v>
      </c>
      <c r="L563" s="3" t="str">
        <f t="shared" si="34"/>
        <v>Don't Watch</v>
      </c>
      <c r="M563" s="3"/>
      <c r="N563" s="3" t="str">
        <f t="shared" si="35"/>
        <v>Maybe</v>
      </c>
      <c r="P563" t="b">
        <f t="shared" si="36"/>
        <v>0</v>
      </c>
    </row>
    <row r="564" spans="1:16" x14ac:dyDescent="0.25">
      <c r="A564">
        <v>563</v>
      </c>
      <c r="B564" t="s">
        <v>1641</v>
      </c>
      <c r="C564">
        <v>-1962</v>
      </c>
      <c r="D564" t="s">
        <v>30</v>
      </c>
      <c r="E564" t="s">
        <v>263</v>
      </c>
      <c r="F564" t="s">
        <v>756</v>
      </c>
      <c r="G564">
        <v>7.9</v>
      </c>
      <c r="H564">
        <v>94</v>
      </c>
      <c r="I564" t="s">
        <v>1642</v>
      </c>
      <c r="J564" s="3">
        <v>75156</v>
      </c>
      <c r="K564" s="3" t="str">
        <f t="shared" si="37"/>
        <v>Maybe</v>
      </c>
      <c r="L564" s="3" t="str">
        <f t="shared" si="34"/>
        <v>Don't Watch</v>
      </c>
      <c r="M564" s="3"/>
      <c r="N564" s="3" t="str">
        <f t="shared" si="35"/>
        <v>Maybe</v>
      </c>
      <c r="P564" t="b">
        <f t="shared" si="36"/>
        <v>0</v>
      </c>
    </row>
    <row r="565" spans="1:16" x14ac:dyDescent="0.25">
      <c r="A565">
        <v>564</v>
      </c>
      <c r="B565" t="s">
        <v>1643</v>
      </c>
      <c r="C565">
        <v>-1960</v>
      </c>
      <c r="D565" t="s">
        <v>74</v>
      </c>
      <c r="E565" t="s">
        <v>1644</v>
      </c>
      <c r="F565" t="s">
        <v>466</v>
      </c>
      <c r="G565">
        <v>7.9</v>
      </c>
      <c r="H565">
        <v>87</v>
      </c>
      <c r="I565" t="s">
        <v>351</v>
      </c>
      <c r="J565" s="3">
        <v>133765</v>
      </c>
      <c r="K565" s="3" t="str">
        <f t="shared" si="37"/>
        <v>Maybe</v>
      </c>
      <c r="L565" s="3" t="str">
        <f t="shared" si="34"/>
        <v>Don't Watch</v>
      </c>
      <c r="M565" s="3"/>
      <c r="N565" s="3" t="str">
        <f t="shared" si="35"/>
        <v>Maybe</v>
      </c>
      <c r="O565" t="s">
        <v>1645</v>
      </c>
      <c r="P565" t="b">
        <f t="shared" si="36"/>
        <v>0</v>
      </c>
    </row>
    <row r="566" spans="1:16" x14ac:dyDescent="0.25">
      <c r="A566">
        <v>565</v>
      </c>
      <c r="B566" t="s">
        <v>1646</v>
      </c>
      <c r="C566">
        <v>-1959</v>
      </c>
      <c r="D566" t="s">
        <v>24</v>
      </c>
      <c r="E566" t="s">
        <v>1244</v>
      </c>
      <c r="F566" t="s">
        <v>78</v>
      </c>
      <c r="G566">
        <v>7.9</v>
      </c>
      <c r="I566" t="s">
        <v>1647</v>
      </c>
      <c r="J566" s="3">
        <v>31797</v>
      </c>
      <c r="K566" s="3" t="str">
        <f t="shared" si="37"/>
        <v>Maybe</v>
      </c>
      <c r="L566" s="3" t="str">
        <f t="shared" si="34"/>
        <v>Don't Watch</v>
      </c>
      <c r="M566" s="3"/>
      <c r="N566" s="3" t="str">
        <f t="shared" si="35"/>
        <v>Maybe</v>
      </c>
      <c r="O566" t="s">
        <v>1648</v>
      </c>
      <c r="P566" t="b">
        <f t="shared" si="36"/>
        <v>0</v>
      </c>
    </row>
    <row r="567" spans="1:16" x14ac:dyDescent="0.25">
      <c r="A567">
        <v>566</v>
      </c>
      <c r="B567" t="s">
        <v>1649</v>
      </c>
      <c r="C567">
        <v>-1958</v>
      </c>
      <c r="D567" t="s">
        <v>24</v>
      </c>
      <c r="E567" t="s">
        <v>409</v>
      </c>
      <c r="F567" t="s">
        <v>20</v>
      </c>
      <c r="G567">
        <v>7.9</v>
      </c>
      <c r="H567">
        <v>84</v>
      </c>
      <c r="I567" t="s">
        <v>1629</v>
      </c>
      <c r="J567" s="3">
        <v>49152</v>
      </c>
      <c r="K567" s="3" t="str">
        <f t="shared" si="37"/>
        <v>Maybe</v>
      </c>
      <c r="L567" s="3" t="str">
        <f t="shared" si="34"/>
        <v>Don't Watch</v>
      </c>
      <c r="M567" s="3"/>
      <c r="N567" s="3" t="str">
        <f t="shared" si="35"/>
        <v>Maybe</v>
      </c>
      <c r="O567" t="s">
        <v>1650</v>
      </c>
      <c r="P567" t="b">
        <f t="shared" si="36"/>
        <v>0</v>
      </c>
    </row>
    <row r="568" spans="1:16" x14ac:dyDescent="0.25">
      <c r="A568">
        <v>567</v>
      </c>
      <c r="B568" t="s">
        <v>1651</v>
      </c>
      <c r="C568">
        <v>-1956</v>
      </c>
      <c r="D568" t="s">
        <v>49</v>
      </c>
      <c r="E568" t="s">
        <v>1652</v>
      </c>
      <c r="F568" t="s">
        <v>1653</v>
      </c>
      <c r="G568">
        <v>7.9</v>
      </c>
      <c r="I568" t="s">
        <v>1654</v>
      </c>
      <c r="J568" s="3">
        <v>70594</v>
      </c>
      <c r="K568" s="3" t="str">
        <f t="shared" si="37"/>
        <v>Maybe</v>
      </c>
      <c r="L568" s="3" t="str">
        <f t="shared" si="34"/>
        <v>Don't Watch</v>
      </c>
      <c r="M568" s="3"/>
      <c r="N568" s="3" t="str">
        <f t="shared" si="35"/>
        <v>Maybe</v>
      </c>
      <c r="O568" t="s">
        <v>1655</v>
      </c>
      <c r="P568" t="b">
        <f t="shared" si="36"/>
        <v>0</v>
      </c>
    </row>
    <row r="569" spans="1:16" x14ac:dyDescent="0.25">
      <c r="A569">
        <v>568</v>
      </c>
      <c r="B569" t="s">
        <v>1656</v>
      </c>
      <c r="C569">
        <v>-1956</v>
      </c>
      <c r="D569" t="s">
        <v>74</v>
      </c>
      <c r="E569" t="s">
        <v>202</v>
      </c>
      <c r="F569" t="s">
        <v>697</v>
      </c>
      <c r="G569">
        <v>7.9</v>
      </c>
      <c r="H569">
        <v>94</v>
      </c>
      <c r="I569" t="s">
        <v>998</v>
      </c>
      <c r="J569" s="3">
        <v>88465</v>
      </c>
      <c r="K569" s="3" t="str">
        <f t="shared" si="37"/>
        <v>Maybe</v>
      </c>
      <c r="L569" s="3" t="str">
        <f t="shared" si="34"/>
        <v>Don't Watch</v>
      </c>
      <c r="M569" s="3"/>
      <c r="N569" s="3" t="str">
        <f t="shared" si="35"/>
        <v>Watch</v>
      </c>
      <c r="P569" t="b">
        <f t="shared" si="36"/>
        <v>0</v>
      </c>
    </row>
    <row r="570" spans="1:16" x14ac:dyDescent="0.25">
      <c r="A570">
        <v>569</v>
      </c>
      <c r="B570" t="s">
        <v>1657</v>
      </c>
      <c r="C570">
        <v>-1953</v>
      </c>
      <c r="D570" t="s">
        <v>24</v>
      </c>
      <c r="E570" t="s">
        <v>221</v>
      </c>
      <c r="F570" t="s">
        <v>1658</v>
      </c>
      <c r="G570">
        <v>7.9</v>
      </c>
      <c r="I570" t="s">
        <v>501</v>
      </c>
      <c r="J570" s="3">
        <v>26610</v>
      </c>
      <c r="K570" s="3" t="str">
        <f t="shared" si="37"/>
        <v>Maybe</v>
      </c>
      <c r="L570" s="3" t="str">
        <f t="shared" si="34"/>
        <v>Don't Watch</v>
      </c>
      <c r="M570" s="3"/>
      <c r="N570" s="3" t="str">
        <f t="shared" si="35"/>
        <v>Maybe</v>
      </c>
      <c r="P570" t="b">
        <f t="shared" si="36"/>
        <v>0</v>
      </c>
    </row>
    <row r="571" spans="1:16" x14ac:dyDescent="0.25">
      <c r="A571">
        <v>570</v>
      </c>
      <c r="B571" t="s">
        <v>1659</v>
      </c>
      <c r="C571">
        <v>-1951</v>
      </c>
      <c r="D571" t="s">
        <v>24</v>
      </c>
      <c r="E571" t="s">
        <v>268</v>
      </c>
      <c r="F571" t="s">
        <v>20</v>
      </c>
      <c r="G571">
        <v>7.9</v>
      </c>
      <c r="H571">
        <v>97</v>
      </c>
      <c r="I571" t="s">
        <v>1020</v>
      </c>
      <c r="J571" s="3">
        <v>107234</v>
      </c>
      <c r="K571" s="3" t="str">
        <f t="shared" si="37"/>
        <v>Maybe</v>
      </c>
      <c r="L571" s="3" t="str">
        <f t="shared" si="34"/>
        <v>Don't Watch</v>
      </c>
      <c r="M571" s="3"/>
      <c r="N571" s="3" t="str">
        <f t="shared" si="35"/>
        <v>Maybe</v>
      </c>
      <c r="O571" t="s">
        <v>1660</v>
      </c>
      <c r="P571" t="b">
        <f t="shared" si="36"/>
        <v>0</v>
      </c>
    </row>
    <row r="572" spans="1:16" x14ac:dyDescent="0.25">
      <c r="A572">
        <v>571</v>
      </c>
      <c r="B572" t="s">
        <v>1661</v>
      </c>
      <c r="C572">
        <v>-1951</v>
      </c>
      <c r="D572" t="s">
        <v>155</v>
      </c>
      <c r="E572" t="s">
        <v>321</v>
      </c>
      <c r="F572" t="s">
        <v>494</v>
      </c>
      <c r="G572">
        <v>7.9</v>
      </c>
      <c r="H572">
        <v>88</v>
      </c>
      <c r="I572" t="s">
        <v>243</v>
      </c>
      <c r="J572" s="3">
        <v>132742</v>
      </c>
      <c r="K572" s="3" t="str">
        <f t="shared" si="37"/>
        <v>Maybe</v>
      </c>
      <c r="L572" s="3" t="str">
        <f t="shared" si="34"/>
        <v>Don't Watch</v>
      </c>
      <c r="M572" s="3"/>
      <c r="N572" s="3" t="str">
        <f t="shared" si="35"/>
        <v>Maybe</v>
      </c>
      <c r="O572" t="s">
        <v>1662</v>
      </c>
      <c r="P572" t="b">
        <f t="shared" si="36"/>
        <v>0</v>
      </c>
    </row>
    <row r="573" spans="1:16" x14ac:dyDescent="0.25">
      <c r="A573">
        <v>572</v>
      </c>
      <c r="B573" t="s">
        <v>1663</v>
      </c>
      <c r="C573">
        <v>-1950</v>
      </c>
      <c r="D573" t="s">
        <v>74</v>
      </c>
      <c r="E573" t="s">
        <v>1057</v>
      </c>
      <c r="F573" t="s">
        <v>1041</v>
      </c>
      <c r="G573">
        <v>7.9</v>
      </c>
      <c r="I573" t="s">
        <v>1664</v>
      </c>
      <c r="J573" s="3">
        <v>31246</v>
      </c>
      <c r="K573" s="3" t="str">
        <f t="shared" si="37"/>
        <v>Maybe</v>
      </c>
      <c r="L573" s="3" t="str">
        <f t="shared" si="34"/>
        <v>Don't Watch</v>
      </c>
      <c r="M573" s="3"/>
      <c r="N573" s="3" t="str">
        <f t="shared" si="35"/>
        <v>Maybe</v>
      </c>
      <c r="P573" t="b">
        <f t="shared" si="36"/>
        <v>0</v>
      </c>
    </row>
    <row r="574" spans="1:16" x14ac:dyDescent="0.25">
      <c r="A574">
        <v>573</v>
      </c>
      <c r="B574" t="s">
        <v>1665</v>
      </c>
      <c r="C574">
        <v>-1950</v>
      </c>
      <c r="D574" t="s">
        <v>49</v>
      </c>
      <c r="E574" t="s">
        <v>418</v>
      </c>
      <c r="F574" t="s">
        <v>769</v>
      </c>
      <c r="G574">
        <v>7.9</v>
      </c>
      <c r="I574" t="s">
        <v>1666</v>
      </c>
      <c r="J574" s="3">
        <v>55466</v>
      </c>
      <c r="K574" s="3" t="str">
        <f t="shared" si="37"/>
        <v>Maybe</v>
      </c>
      <c r="L574" s="3" t="str">
        <f t="shared" si="34"/>
        <v>Don't Watch</v>
      </c>
      <c r="M574" s="3"/>
      <c r="N574" s="3" t="str">
        <f t="shared" si="35"/>
        <v>Maybe</v>
      </c>
      <c r="P574" t="b">
        <f t="shared" si="36"/>
        <v>0</v>
      </c>
    </row>
    <row r="575" spans="1:16" x14ac:dyDescent="0.25">
      <c r="A575">
        <v>574</v>
      </c>
      <c r="B575" t="s">
        <v>1667</v>
      </c>
      <c r="C575">
        <v>-1948</v>
      </c>
      <c r="D575" t="s">
        <v>74</v>
      </c>
      <c r="E575" t="s">
        <v>851</v>
      </c>
      <c r="F575" t="s">
        <v>56</v>
      </c>
      <c r="G575">
        <v>7.9</v>
      </c>
      <c r="H575">
        <v>73</v>
      </c>
      <c r="I575" t="s">
        <v>243</v>
      </c>
      <c r="J575" s="3">
        <v>141511</v>
      </c>
      <c r="K575" s="3" t="str">
        <f t="shared" si="37"/>
        <v>Maybe</v>
      </c>
      <c r="L575" s="3" t="str">
        <f t="shared" si="34"/>
        <v>Don't Watch</v>
      </c>
      <c r="M575" s="3"/>
      <c r="N575" s="3" t="str">
        <f t="shared" si="35"/>
        <v>Maybe</v>
      </c>
      <c r="P575" t="b">
        <f t="shared" si="36"/>
        <v>0</v>
      </c>
    </row>
    <row r="576" spans="1:16" x14ac:dyDescent="0.25">
      <c r="A576">
        <v>575</v>
      </c>
      <c r="B576" t="s">
        <v>1668</v>
      </c>
      <c r="C576">
        <v>-1947</v>
      </c>
      <c r="D576" t="s">
        <v>49</v>
      </c>
      <c r="E576" t="s">
        <v>50</v>
      </c>
      <c r="F576" t="s">
        <v>508</v>
      </c>
      <c r="G576">
        <v>7.9</v>
      </c>
      <c r="H576">
        <v>88</v>
      </c>
      <c r="I576" t="s">
        <v>1669</v>
      </c>
      <c r="J576" s="3">
        <v>47484</v>
      </c>
      <c r="K576" s="3" t="str">
        <f t="shared" si="37"/>
        <v>Maybe</v>
      </c>
      <c r="L576" s="3" t="str">
        <f t="shared" si="34"/>
        <v>Don't Watch</v>
      </c>
      <c r="M576" s="3"/>
      <c r="N576" s="3" t="str">
        <f t="shared" si="35"/>
        <v>Maybe</v>
      </c>
      <c r="O576" t="s">
        <v>1670</v>
      </c>
      <c r="P576" t="b">
        <f t="shared" si="36"/>
        <v>0</v>
      </c>
    </row>
    <row r="577" spans="1:16" x14ac:dyDescent="0.25">
      <c r="A577">
        <v>576</v>
      </c>
      <c r="B577" t="s">
        <v>1671</v>
      </c>
      <c r="C577">
        <v>-1946</v>
      </c>
      <c r="D577" t="s">
        <v>155</v>
      </c>
      <c r="E577" t="s">
        <v>249</v>
      </c>
      <c r="F577" t="s">
        <v>1672</v>
      </c>
      <c r="G577">
        <v>7.9</v>
      </c>
      <c r="H577">
        <v>100</v>
      </c>
      <c r="I577" t="s">
        <v>243</v>
      </c>
      <c r="J577" s="3">
        <v>100322</v>
      </c>
      <c r="K577" s="3" t="str">
        <f t="shared" si="37"/>
        <v>Maybe</v>
      </c>
      <c r="L577" s="3" t="str">
        <f t="shared" si="34"/>
        <v>Don't Watch</v>
      </c>
      <c r="M577" s="3"/>
      <c r="N577" s="3" t="str">
        <f t="shared" si="35"/>
        <v>Maybe</v>
      </c>
      <c r="O577" t="s">
        <v>1673</v>
      </c>
      <c r="P577" t="b">
        <f t="shared" si="36"/>
        <v>0</v>
      </c>
    </row>
    <row r="578" spans="1:16" x14ac:dyDescent="0.25">
      <c r="A578">
        <v>577</v>
      </c>
      <c r="B578" t="s">
        <v>1674</v>
      </c>
      <c r="C578">
        <v>-1946</v>
      </c>
      <c r="D578" t="s">
        <v>155</v>
      </c>
      <c r="E578" t="s">
        <v>655</v>
      </c>
      <c r="F578" t="s">
        <v>1377</v>
      </c>
      <c r="G578">
        <v>7.9</v>
      </c>
      <c r="H578">
        <v>86</v>
      </c>
      <c r="I578" t="s">
        <v>1348</v>
      </c>
      <c r="J578" s="3">
        <v>85061</v>
      </c>
      <c r="K578" s="3" t="str">
        <f t="shared" si="37"/>
        <v>Maybe</v>
      </c>
      <c r="L578" s="3" t="str">
        <f t="shared" si="34"/>
        <v>Don't Watch</v>
      </c>
      <c r="M578" s="3"/>
      <c r="N578" s="3" t="str">
        <f t="shared" si="35"/>
        <v>Maybe</v>
      </c>
      <c r="O578" t="s">
        <v>1675</v>
      </c>
      <c r="P578" t="b">
        <f t="shared" si="36"/>
        <v>0</v>
      </c>
    </row>
    <row r="579" spans="1:16" x14ac:dyDescent="0.25">
      <c r="A579">
        <v>578</v>
      </c>
      <c r="B579" t="s">
        <v>1676</v>
      </c>
      <c r="C579">
        <v>-1946</v>
      </c>
      <c r="D579" t="s">
        <v>155</v>
      </c>
      <c r="E579" t="s">
        <v>50</v>
      </c>
      <c r="F579" t="s">
        <v>1267</v>
      </c>
      <c r="G579">
        <v>7.9</v>
      </c>
      <c r="H579">
        <v>92</v>
      </c>
      <c r="I579" t="s">
        <v>1677</v>
      </c>
      <c r="J579" s="3">
        <v>26345</v>
      </c>
      <c r="K579" s="3" t="str">
        <f t="shared" si="37"/>
        <v>Maybe</v>
      </c>
      <c r="L579" s="3" t="str">
        <f t="shared" ref="L579:L642" si="38">IF(G579=9,"Must Watch",IF(G579=8,"Maybe","Don't Watch"))</f>
        <v>Don't Watch</v>
      </c>
      <c r="M579" s="3"/>
      <c r="N579" s="3" t="str">
        <f t="shared" ref="N579:N642" si="39">IF(I579="Billy Wilder", "Must Watch", IF(I579="John Ford", "Watch", "Maybe"))</f>
        <v>Maybe</v>
      </c>
      <c r="O579" t="s">
        <v>869</v>
      </c>
      <c r="P579" t="b">
        <f t="shared" ref="P579:P642" si="40">ISNUMBER(B:B)</f>
        <v>0</v>
      </c>
    </row>
    <row r="580" spans="1:16" x14ac:dyDescent="0.25">
      <c r="A580">
        <v>579</v>
      </c>
      <c r="B580" t="s">
        <v>1678</v>
      </c>
      <c r="C580">
        <v>-1945</v>
      </c>
      <c r="D580" t="s">
        <v>155</v>
      </c>
      <c r="E580" t="s">
        <v>321</v>
      </c>
      <c r="F580" t="s">
        <v>364</v>
      </c>
      <c r="G580">
        <v>7.9</v>
      </c>
      <c r="I580" t="s">
        <v>360</v>
      </c>
      <c r="J580" s="3">
        <v>36809</v>
      </c>
      <c r="K580" s="3" t="str">
        <f t="shared" si="37"/>
        <v>Maybe</v>
      </c>
      <c r="L580" s="3" t="str">
        <f t="shared" si="38"/>
        <v>Don't Watch</v>
      </c>
      <c r="M580" s="3"/>
      <c r="N580" s="3" t="str">
        <f t="shared" si="39"/>
        <v>Must Watch</v>
      </c>
      <c r="O580" t="s">
        <v>1679</v>
      </c>
      <c r="P580" t="b">
        <f t="shared" si="40"/>
        <v>0</v>
      </c>
    </row>
    <row r="581" spans="1:16" x14ac:dyDescent="0.25">
      <c r="A581">
        <v>580</v>
      </c>
      <c r="B581" t="s">
        <v>1680</v>
      </c>
      <c r="C581">
        <v>-1944</v>
      </c>
      <c r="D581" t="s">
        <v>155</v>
      </c>
      <c r="E581" t="s">
        <v>213</v>
      </c>
      <c r="F581" t="s">
        <v>1041</v>
      </c>
      <c r="G581">
        <v>7.9</v>
      </c>
      <c r="I581" t="s">
        <v>1351</v>
      </c>
      <c r="J581" s="3">
        <v>47083</v>
      </c>
      <c r="K581" s="3" t="str">
        <f t="shared" si="37"/>
        <v>Maybe</v>
      </c>
      <c r="L581" s="3" t="str">
        <f t="shared" si="38"/>
        <v>Don't Watch</v>
      </c>
      <c r="M581" s="3"/>
      <c r="N581" s="3" t="str">
        <f t="shared" si="39"/>
        <v>Maybe</v>
      </c>
      <c r="O581" t="s">
        <v>52</v>
      </c>
      <c r="P581" t="b">
        <f t="shared" si="40"/>
        <v>0</v>
      </c>
    </row>
    <row r="582" spans="1:16" x14ac:dyDescent="0.25">
      <c r="A582">
        <v>581</v>
      </c>
      <c r="B582" t="s">
        <v>1681</v>
      </c>
      <c r="C582">
        <v>-1943</v>
      </c>
      <c r="D582" t="s">
        <v>74</v>
      </c>
      <c r="E582" t="s">
        <v>143</v>
      </c>
      <c r="F582" t="s">
        <v>1682</v>
      </c>
      <c r="G582">
        <v>7.9</v>
      </c>
      <c r="I582" t="s">
        <v>161</v>
      </c>
      <c r="J582" s="3">
        <v>70312</v>
      </c>
      <c r="K582" s="3" t="str">
        <f t="shared" si="37"/>
        <v>Maybe</v>
      </c>
      <c r="L582" s="3" t="str">
        <f t="shared" si="38"/>
        <v>Don't Watch</v>
      </c>
      <c r="M582" s="3"/>
      <c r="N582" s="3" t="str">
        <f t="shared" si="39"/>
        <v>Maybe</v>
      </c>
      <c r="P582" t="b">
        <f t="shared" si="40"/>
        <v>0</v>
      </c>
    </row>
    <row r="583" spans="1:16" x14ac:dyDescent="0.25">
      <c r="A583">
        <v>582</v>
      </c>
      <c r="B583" t="s">
        <v>1683</v>
      </c>
      <c r="C583">
        <v>-1941</v>
      </c>
      <c r="D583" t="s">
        <v>155</v>
      </c>
      <c r="E583" t="s">
        <v>1244</v>
      </c>
      <c r="F583" t="s">
        <v>714</v>
      </c>
      <c r="G583">
        <v>7.9</v>
      </c>
      <c r="I583" t="s">
        <v>1684</v>
      </c>
      <c r="J583" s="3">
        <v>26206</v>
      </c>
      <c r="K583" s="3" t="str">
        <f t="shared" ref="K583:K646" si="41">IF(G583&lt;7.9, "Don't Watch", IF(G583&gt;8, "Must Watch", "Maybe"))</f>
        <v>Maybe</v>
      </c>
      <c r="L583" s="3" t="str">
        <f t="shared" si="38"/>
        <v>Don't Watch</v>
      </c>
      <c r="M583" s="3"/>
      <c r="N583" s="3" t="str">
        <f t="shared" si="39"/>
        <v>Maybe</v>
      </c>
      <c r="P583" t="b">
        <f t="shared" si="40"/>
        <v>0</v>
      </c>
    </row>
    <row r="584" spans="1:16" x14ac:dyDescent="0.25">
      <c r="A584">
        <v>583</v>
      </c>
      <c r="B584" t="s">
        <v>1685</v>
      </c>
      <c r="C584">
        <v>-1940</v>
      </c>
      <c r="D584" t="s">
        <v>155</v>
      </c>
      <c r="E584" t="s">
        <v>176</v>
      </c>
      <c r="F584" t="s">
        <v>414</v>
      </c>
      <c r="G584">
        <v>7.9</v>
      </c>
      <c r="H584">
        <v>96</v>
      </c>
      <c r="I584" t="s">
        <v>1686</v>
      </c>
      <c r="J584" s="3">
        <v>68752</v>
      </c>
      <c r="K584" s="3" t="str">
        <f t="shared" si="41"/>
        <v>Maybe</v>
      </c>
      <c r="L584" s="3" t="str">
        <f t="shared" si="38"/>
        <v>Don't Watch</v>
      </c>
      <c r="M584" s="3"/>
      <c r="N584" s="3" t="str">
        <f t="shared" si="39"/>
        <v>Maybe</v>
      </c>
      <c r="P584" t="b">
        <f t="shared" si="40"/>
        <v>0</v>
      </c>
    </row>
    <row r="585" spans="1:16" x14ac:dyDescent="0.25">
      <c r="A585">
        <v>584</v>
      </c>
      <c r="B585" t="s">
        <v>1687</v>
      </c>
      <c r="C585">
        <v>-1939</v>
      </c>
      <c r="D585" t="s">
        <v>74</v>
      </c>
      <c r="E585" t="s">
        <v>209</v>
      </c>
      <c r="F585" t="s">
        <v>304</v>
      </c>
      <c r="G585">
        <v>7.9</v>
      </c>
      <c r="I585" t="s">
        <v>1048</v>
      </c>
      <c r="J585" s="3">
        <v>28863</v>
      </c>
      <c r="K585" s="3" t="str">
        <f t="shared" si="41"/>
        <v>Maybe</v>
      </c>
      <c r="L585" s="3" t="str">
        <f t="shared" si="38"/>
        <v>Don't Watch</v>
      </c>
      <c r="M585" s="3"/>
      <c r="N585" s="3" t="str">
        <f t="shared" si="39"/>
        <v>Maybe</v>
      </c>
      <c r="P585" t="b">
        <f t="shared" si="40"/>
        <v>0</v>
      </c>
    </row>
    <row r="586" spans="1:16" x14ac:dyDescent="0.25">
      <c r="A586">
        <v>585</v>
      </c>
      <c r="B586" t="s">
        <v>1688</v>
      </c>
      <c r="C586">
        <v>-1938</v>
      </c>
      <c r="D586" t="s">
        <v>49</v>
      </c>
      <c r="E586" t="s">
        <v>249</v>
      </c>
      <c r="F586" t="s">
        <v>1689</v>
      </c>
      <c r="G586">
        <v>7.9</v>
      </c>
      <c r="H586">
        <v>97</v>
      </c>
      <c r="I586" t="s">
        <v>251</v>
      </c>
      <c r="J586" s="3">
        <v>50789</v>
      </c>
      <c r="K586" s="3" t="str">
        <f t="shared" si="41"/>
        <v>Maybe</v>
      </c>
      <c r="L586" s="3" t="str">
        <f t="shared" si="38"/>
        <v>Don't Watch</v>
      </c>
      <c r="M586" s="3"/>
      <c r="N586" s="3" t="str">
        <f t="shared" si="39"/>
        <v>Maybe</v>
      </c>
      <c r="O586" t="s">
        <v>1690</v>
      </c>
      <c r="P586" t="b">
        <f t="shared" si="40"/>
        <v>0</v>
      </c>
    </row>
    <row r="587" spans="1:16" x14ac:dyDescent="0.25">
      <c r="A587">
        <v>586</v>
      </c>
      <c r="B587" t="s">
        <v>1691</v>
      </c>
      <c r="C587">
        <v>-1934</v>
      </c>
      <c r="D587" t="s">
        <v>155</v>
      </c>
      <c r="E587" t="s">
        <v>658</v>
      </c>
      <c r="F587" t="s">
        <v>1692</v>
      </c>
      <c r="G587">
        <v>7.9</v>
      </c>
      <c r="H587">
        <v>86</v>
      </c>
      <c r="I587" t="s">
        <v>1693</v>
      </c>
      <c r="J587" s="3">
        <v>29422</v>
      </c>
      <c r="K587" s="3" t="str">
        <f t="shared" si="41"/>
        <v>Maybe</v>
      </c>
      <c r="L587" s="3" t="str">
        <f t="shared" si="38"/>
        <v>Don't Watch</v>
      </c>
      <c r="M587" s="3"/>
      <c r="N587" s="3" t="str">
        <f t="shared" si="39"/>
        <v>Maybe</v>
      </c>
      <c r="P587" t="b">
        <f t="shared" si="40"/>
        <v>0</v>
      </c>
    </row>
    <row r="588" spans="1:16" x14ac:dyDescent="0.25">
      <c r="A588">
        <v>587</v>
      </c>
      <c r="B588" t="s">
        <v>1694</v>
      </c>
      <c r="C588">
        <v>-1933</v>
      </c>
      <c r="D588" t="s">
        <v>155</v>
      </c>
      <c r="E588" t="s">
        <v>613</v>
      </c>
      <c r="F588" t="s">
        <v>1695</v>
      </c>
      <c r="G588">
        <v>7.9</v>
      </c>
      <c r="H588">
        <v>90</v>
      </c>
      <c r="I588" t="s">
        <v>1696</v>
      </c>
      <c r="J588" s="3">
        <v>84903</v>
      </c>
      <c r="K588" s="3" t="str">
        <f t="shared" si="41"/>
        <v>Maybe</v>
      </c>
      <c r="L588" s="3" t="str">
        <f t="shared" si="38"/>
        <v>Don't Watch</v>
      </c>
      <c r="M588" s="3"/>
      <c r="N588" s="3" t="str">
        <f t="shared" si="39"/>
        <v>Maybe</v>
      </c>
      <c r="O588" t="s">
        <v>1697</v>
      </c>
      <c r="P588" t="b">
        <f t="shared" si="40"/>
        <v>0</v>
      </c>
    </row>
    <row r="589" spans="1:16" x14ac:dyDescent="0.25">
      <c r="A589">
        <v>588</v>
      </c>
      <c r="B589" t="s">
        <v>1698</v>
      </c>
      <c r="C589">
        <v>-1932</v>
      </c>
      <c r="D589" t="s">
        <v>1380</v>
      </c>
      <c r="E589" t="s">
        <v>1699</v>
      </c>
      <c r="F589" t="s">
        <v>350</v>
      </c>
      <c r="G589">
        <v>7.9</v>
      </c>
      <c r="H589">
        <v>80</v>
      </c>
      <c r="I589" t="s">
        <v>1700</v>
      </c>
      <c r="J589" s="3">
        <v>46061</v>
      </c>
      <c r="K589" s="3" t="str">
        <f t="shared" si="41"/>
        <v>Maybe</v>
      </c>
      <c r="L589" s="3" t="str">
        <f t="shared" si="38"/>
        <v>Don't Watch</v>
      </c>
      <c r="M589" s="3"/>
      <c r="N589" s="3" t="str">
        <f t="shared" si="39"/>
        <v>Maybe</v>
      </c>
      <c r="P589" t="b">
        <f t="shared" si="40"/>
        <v>0</v>
      </c>
    </row>
    <row r="590" spans="1:16" x14ac:dyDescent="0.25">
      <c r="A590">
        <v>589</v>
      </c>
      <c r="B590" t="s">
        <v>1701</v>
      </c>
      <c r="C590">
        <v>-1922</v>
      </c>
      <c r="D590" t="s">
        <v>155</v>
      </c>
      <c r="E590" t="s">
        <v>1057</v>
      </c>
      <c r="F590" t="s">
        <v>1702</v>
      </c>
      <c r="G590">
        <v>7.9</v>
      </c>
      <c r="I590" t="s">
        <v>1058</v>
      </c>
      <c r="J590" s="3">
        <v>95938</v>
      </c>
      <c r="K590" s="3" t="str">
        <f t="shared" si="41"/>
        <v>Maybe</v>
      </c>
      <c r="L590" s="3" t="str">
        <f t="shared" si="38"/>
        <v>Don't Watch</v>
      </c>
      <c r="M590" s="3"/>
      <c r="N590" s="3" t="str">
        <f t="shared" si="39"/>
        <v>Maybe</v>
      </c>
      <c r="P590" t="b">
        <f t="shared" si="40"/>
        <v>0</v>
      </c>
    </row>
    <row r="591" spans="1:16" x14ac:dyDescent="0.25">
      <c r="A591">
        <v>590</v>
      </c>
      <c r="B591" t="s">
        <v>1703</v>
      </c>
      <c r="C591">
        <v>-2019</v>
      </c>
      <c r="D591">
        <v>18</v>
      </c>
      <c r="E591" t="s">
        <v>325</v>
      </c>
      <c r="F591" t="s">
        <v>550</v>
      </c>
      <c r="G591">
        <v>7.8</v>
      </c>
      <c r="H591">
        <v>51</v>
      </c>
      <c r="I591" t="s">
        <v>420</v>
      </c>
      <c r="J591" s="3">
        <v>322430</v>
      </c>
      <c r="K591" s="3" t="str">
        <f t="shared" si="41"/>
        <v>Don't Watch</v>
      </c>
      <c r="L591" s="3" t="str">
        <f t="shared" si="38"/>
        <v>Don't Watch</v>
      </c>
      <c r="M591" s="3"/>
      <c r="N591" s="3" t="str">
        <f t="shared" si="39"/>
        <v>Maybe</v>
      </c>
      <c r="P591" t="b">
        <f t="shared" si="40"/>
        <v>0</v>
      </c>
    </row>
    <row r="592" spans="1:16" x14ac:dyDescent="0.25">
      <c r="A592">
        <v>591</v>
      </c>
      <c r="B592" t="s">
        <v>1704</v>
      </c>
      <c r="C592">
        <v>-2018</v>
      </c>
      <c r="D592" t="s">
        <v>74</v>
      </c>
      <c r="E592" t="s">
        <v>613</v>
      </c>
      <c r="F592" t="s">
        <v>279</v>
      </c>
      <c r="G592">
        <v>7.8</v>
      </c>
      <c r="H592">
        <v>59</v>
      </c>
      <c r="I592" t="s">
        <v>1705</v>
      </c>
      <c r="J592" s="3">
        <v>26599</v>
      </c>
      <c r="K592" s="3" t="str">
        <f t="shared" si="41"/>
        <v>Don't Watch</v>
      </c>
      <c r="L592" s="3" t="str">
        <f t="shared" si="38"/>
        <v>Don't Watch</v>
      </c>
      <c r="M592" s="3"/>
      <c r="N592" s="3" t="str">
        <f t="shared" si="39"/>
        <v>Maybe</v>
      </c>
      <c r="O592" t="s">
        <v>1706</v>
      </c>
      <c r="P592" t="b">
        <f t="shared" si="40"/>
        <v>0</v>
      </c>
    </row>
    <row r="593" spans="1:16" x14ac:dyDescent="0.25">
      <c r="A593">
        <v>592</v>
      </c>
      <c r="B593" t="s">
        <v>1707</v>
      </c>
      <c r="C593">
        <v>-2017</v>
      </c>
      <c r="D593" t="s">
        <v>74</v>
      </c>
      <c r="E593" t="s">
        <v>166</v>
      </c>
      <c r="F593" t="s">
        <v>304</v>
      </c>
      <c r="G593">
        <v>7.8</v>
      </c>
      <c r="I593" t="s">
        <v>1708</v>
      </c>
      <c r="J593" s="3">
        <v>28337</v>
      </c>
      <c r="K593" s="3" t="str">
        <f t="shared" si="41"/>
        <v>Don't Watch</v>
      </c>
      <c r="L593" s="3" t="str">
        <f t="shared" si="38"/>
        <v>Don't Watch</v>
      </c>
      <c r="M593" s="3"/>
      <c r="N593" s="3" t="str">
        <f t="shared" si="39"/>
        <v>Maybe</v>
      </c>
      <c r="P593" t="b">
        <f t="shared" si="40"/>
        <v>0</v>
      </c>
    </row>
    <row r="594" spans="1:16" x14ac:dyDescent="0.25">
      <c r="A594">
        <v>593</v>
      </c>
      <c r="B594" t="s">
        <v>1709</v>
      </c>
      <c r="C594">
        <v>-2017</v>
      </c>
      <c r="D594">
        <v>15</v>
      </c>
      <c r="E594" t="s">
        <v>166</v>
      </c>
      <c r="F594" t="s">
        <v>78</v>
      </c>
      <c r="G594">
        <v>7.8</v>
      </c>
      <c r="H594">
        <v>93</v>
      </c>
      <c r="I594" t="s">
        <v>1710</v>
      </c>
      <c r="J594" s="3">
        <v>261160</v>
      </c>
      <c r="K594" s="3" t="str">
        <f t="shared" si="41"/>
        <v>Don't Watch</v>
      </c>
      <c r="L594" s="3" t="str">
        <f t="shared" si="38"/>
        <v>Don't Watch</v>
      </c>
      <c r="M594" s="3"/>
      <c r="N594" s="3" t="str">
        <f t="shared" si="39"/>
        <v>Maybe</v>
      </c>
      <c r="O594" t="s">
        <v>1711</v>
      </c>
      <c r="P594" t="b">
        <f t="shared" si="40"/>
        <v>0</v>
      </c>
    </row>
    <row r="595" spans="1:16" x14ac:dyDescent="0.25">
      <c r="A595">
        <v>594</v>
      </c>
      <c r="B595" t="s">
        <v>1712</v>
      </c>
      <c r="C595">
        <v>-2016</v>
      </c>
      <c r="D595">
        <v>15</v>
      </c>
      <c r="E595" t="s">
        <v>613</v>
      </c>
      <c r="F595" t="s">
        <v>20</v>
      </c>
      <c r="G595">
        <v>7.8</v>
      </c>
      <c r="H595">
        <v>78</v>
      </c>
      <c r="I595" t="s">
        <v>1713</v>
      </c>
      <c r="J595" s="3">
        <v>59536</v>
      </c>
      <c r="K595" s="3" t="str">
        <f t="shared" si="41"/>
        <v>Don't Watch</v>
      </c>
      <c r="L595" s="3" t="str">
        <f t="shared" si="38"/>
        <v>Don't Watch</v>
      </c>
      <c r="M595" s="3"/>
      <c r="N595" s="3" t="str">
        <f t="shared" si="39"/>
        <v>Maybe</v>
      </c>
      <c r="O595" t="s">
        <v>1218</v>
      </c>
      <c r="P595" t="b">
        <f t="shared" si="40"/>
        <v>0</v>
      </c>
    </row>
    <row r="596" spans="1:16" x14ac:dyDescent="0.25">
      <c r="A596">
        <v>595</v>
      </c>
      <c r="B596" t="s">
        <v>1714</v>
      </c>
      <c r="C596">
        <v>-2018</v>
      </c>
      <c r="D596" t="s">
        <v>74</v>
      </c>
      <c r="E596" t="s">
        <v>321</v>
      </c>
      <c r="F596" t="s">
        <v>292</v>
      </c>
      <c r="G596">
        <v>7.8</v>
      </c>
      <c r="H596">
        <v>82</v>
      </c>
      <c r="I596" t="s">
        <v>774</v>
      </c>
      <c r="J596" s="3">
        <v>164645</v>
      </c>
      <c r="K596" s="3" t="str">
        <f t="shared" si="41"/>
        <v>Don't Watch</v>
      </c>
      <c r="L596" s="3" t="str">
        <f t="shared" si="38"/>
        <v>Don't Watch</v>
      </c>
      <c r="M596" s="3"/>
      <c r="N596" s="3" t="str">
        <f t="shared" si="39"/>
        <v>Maybe</v>
      </c>
      <c r="O596" t="s">
        <v>1715</v>
      </c>
      <c r="P596" t="b">
        <f t="shared" si="40"/>
        <v>0</v>
      </c>
    </row>
    <row r="597" spans="1:16" x14ac:dyDescent="0.25">
      <c r="A597">
        <v>596</v>
      </c>
      <c r="B597" t="s">
        <v>1716</v>
      </c>
      <c r="C597">
        <v>-2017</v>
      </c>
      <c r="D597" t="s">
        <v>30</v>
      </c>
      <c r="E597" t="s">
        <v>171</v>
      </c>
      <c r="F597" t="s">
        <v>516</v>
      </c>
      <c r="G597">
        <v>7.8</v>
      </c>
      <c r="H597">
        <v>94</v>
      </c>
      <c r="I597" t="s">
        <v>33</v>
      </c>
      <c r="J597" s="3">
        <v>637254</v>
      </c>
      <c r="K597" s="3" t="str">
        <f t="shared" si="41"/>
        <v>Don't Watch</v>
      </c>
      <c r="L597" s="3" t="str">
        <f t="shared" si="38"/>
        <v>Don't Watch</v>
      </c>
      <c r="M597" s="3"/>
      <c r="N597" s="3" t="str">
        <f t="shared" si="39"/>
        <v>Maybe</v>
      </c>
      <c r="O597" t="s">
        <v>1717</v>
      </c>
      <c r="P597" t="b">
        <f t="shared" si="40"/>
        <v>0</v>
      </c>
    </row>
    <row r="598" spans="1:16" x14ac:dyDescent="0.25">
      <c r="A598">
        <v>597</v>
      </c>
      <c r="B598" t="s">
        <v>1718</v>
      </c>
      <c r="C598">
        <v>-2016</v>
      </c>
      <c r="D598" t="s">
        <v>74</v>
      </c>
      <c r="E598" t="s">
        <v>136</v>
      </c>
      <c r="F598" t="s">
        <v>42</v>
      </c>
      <c r="G598">
        <v>7.8</v>
      </c>
      <c r="H598">
        <v>74</v>
      </c>
      <c r="I598" t="s">
        <v>1719</v>
      </c>
      <c r="J598" s="3">
        <v>224366</v>
      </c>
      <c r="K598" s="3" t="str">
        <f t="shared" si="41"/>
        <v>Don't Watch</v>
      </c>
      <c r="L598" s="3" t="str">
        <f t="shared" si="38"/>
        <v>Don't Watch</v>
      </c>
      <c r="M598" s="3"/>
      <c r="N598" s="3" t="str">
        <f t="shared" si="39"/>
        <v>Maybe</v>
      </c>
      <c r="O598" t="s">
        <v>1720</v>
      </c>
      <c r="P598" t="b">
        <f t="shared" si="40"/>
        <v>0</v>
      </c>
    </row>
    <row r="599" spans="1:16" x14ac:dyDescent="0.25">
      <c r="A599">
        <v>598</v>
      </c>
      <c r="B599" t="s">
        <v>1721</v>
      </c>
      <c r="C599">
        <v>-2016</v>
      </c>
      <c r="D599" t="s">
        <v>30</v>
      </c>
      <c r="E599" t="s">
        <v>321</v>
      </c>
      <c r="F599" t="s">
        <v>714</v>
      </c>
      <c r="G599">
        <v>7.8</v>
      </c>
      <c r="H599">
        <v>81</v>
      </c>
      <c r="I599" t="s">
        <v>1410</v>
      </c>
      <c r="J599" s="3">
        <v>128308</v>
      </c>
      <c r="K599" s="3" t="str">
        <f t="shared" si="41"/>
        <v>Don't Watch</v>
      </c>
      <c r="L599" s="3" t="str">
        <f t="shared" si="38"/>
        <v>Don't Watch</v>
      </c>
      <c r="M599" s="3"/>
      <c r="N599" s="3" t="str">
        <f t="shared" si="39"/>
        <v>Maybe</v>
      </c>
      <c r="O599" t="s">
        <v>1722</v>
      </c>
      <c r="P599" t="b">
        <f t="shared" si="40"/>
        <v>0</v>
      </c>
    </row>
    <row r="600" spans="1:16" x14ac:dyDescent="0.25">
      <c r="A600">
        <v>599</v>
      </c>
      <c r="B600" t="s">
        <v>1723</v>
      </c>
      <c r="C600">
        <v>-2017</v>
      </c>
      <c r="D600" t="s">
        <v>74</v>
      </c>
      <c r="E600" t="s">
        <v>403</v>
      </c>
      <c r="F600" t="s">
        <v>1724</v>
      </c>
      <c r="G600">
        <v>7.8</v>
      </c>
      <c r="H600">
        <v>88</v>
      </c>
      <c r="I600" t="s">
        <v>1725</v>
      </c>
      <c r="J600" s="3">
        <v>75155</v>
      </c>
      <c r="K600" s="3" t="str">
        <f t="shared" si="41"/>
        <v>Don't Watch</v>
      </c>
      <c r="L600" s="3" t="str">
        <f t="shared" si="38"/>
        <v>Don't Watch</v>
      </c>
      <c r="M600" s="3"/>
      <c r="N600" s="3" t="str">
        <f t="shared" si="39"/>
        <v>Maybe</v>
      </c>
      <c r="O600" t="s">
        <v>1726</v>
      </c>
      <c r="P600" t="b">
        <f t="shared" si="40"/>
        <v>0</v>
      </c>
    </row>
    <row r="601" spans="1:16" x14ac:dyDescent="0.25">
      <c r="A601">
        <v>600</v>
      </c>
      <c r="B601" t="s">
        <v>1727</v>
      </c>
      <c r="C601">
        <v>-2016</v>
      </c>
      <c r="D601">
        <v>15</v>
      </c>
      <c r="E601" t="s">
        <v>139</v>
      </c>
      <c r="F601" t="s">
        <v>20</v>
      </c>
      <c r="G601">
        <v>7.8</v>
      </c>
      <c r="H601">
        <v>96</v>
      </c>
      <c r="I601" t="s">
        <v>1728</v>
      </c>
      <c r="J601" s="3">
        <v>275853</v>
      </c>
      <c r="K601" s="3" t="str">
        <f t="shared" si="41"/>
        <v>Don't Watch</v>
      </c>
      <c r="L601" s="3" t="str">
        <f t="shared" si="38"/>
        <v>Don't Watch</v>
      </c>
      <c r="M601" s="3"/>
      <c r="N601" s="3" t="str">
        <f t="shared" si="39"/>
        <v>Maybe</v>
      </c>
      <c r="O601" t="s">
        <v>569</v>
      </c>
      <c r="P601" t="b">
        <f t="shared" si="40"/>
        <v>0</v>
      </c>
    </row>
    <row r="602" spans="1:16" x14ac:dyDescent="0.25">
      <c r="A602">
        <v>601</v>
      </c>
      <c r="B602" t="s">
        <v>1729</v>
      </c>
      <c r="C602">
        <v>-2015</v>
      </c>
      <c r="D602">
        <v>15</v>
      </c>
      <c r="E602" t="s">
        <v>613</v>
      </c>
      <c r="F602" t="s">
        <v>1602</v>
      </c>
      <c r="G602">
        <v>7.8</v>
      </c>
      <c r="H602">
        <v>75</v>
      </c>
      <c r="I602" t="s">
        <v>1730</v>
      </c>
      <c r="J602" s="3">
        <v>40738</v>
      </c>
      <c r="K602" s="3" t="str">
        <f t="shared" si="41"/>
        <v>Don't Watch</v>
      </c>
      <c r="L602" s="3" t="str">
        <f t="shared" si="38"/>
        <v>Don't Watch</v>
      </c>
      <c r="M602" s="3"/>
      <c r="N602" s="3" t="str">
        <f t="shared" si="39"/>
        <v>Maybe</v>
      </c>
      <c r="O602" t="s">
        <v>1731</v>
      </c>
      <c r="P602" t="b">
        <f t="shared" si="40"/>
        <v>0</v>
      </c>
    </row>
    <row r="603" spans="1:16" x14ac:dyDescent="0.25">
      <c r="A603">
        <v>602</v>
      </c>
      <c r="B603" t="s">
        <v>1732</v>
      </c>
      <c r="C603">
        <v>-2016</v>
      </c>
      <c r="D603" t="s">
        <v>30</v>
      </c>
      <c r="E603" t="s">
        <v>104</v>
      </c>
      <c r="F603" t="s">
        <v>64</v>
      </c>
      <c r="G603">
        <v>7.8</v>
      </c>
      <c r="H603">
        <v>65</v>
      </c>
      <c r="I603" t="s">
        <v>1733</v>
      </c>
      <c r="J603" s="3">
        <v>612749</v>
      </c>
      <c r="K603" s="3" t="str">
        <f t="shared" si="41"/>
        <v>Don't Watch</v>
      </c>
      <c r="L603" s="3" t="str">
        <f t="shared" si="38"/>
        <v>Don't Watch</v>
      </c>
      <c r="M603" s="3"/>
      <c r="N603" s="3" t="str">
        <f t="shared" si="39"/>
        <v>Maybe</v>
      </c>
      <c r="O603" t="s">
        <v>1734</v>
      </c>
      <c r="P603" t="b">
        <f t="shared" si="40"/>
        <v>0</v>
      </c>
    </row>
    <row r="604" spans="1:16" x14ac:dyDescent="0.25">
      <c r="A604">
        <v>603</v>
      </c>
      <c r="B604" t="s">
        <v>1735</v>
      </c>
      <c r="C604">
        <v>-2016</v>
      </c>
      <c r="D604">
        <v>15</v>
      </c>
      <c r="E604" t="s">
        <v>143</v>
      </c>
      <c r="F604" t="s">
        <v>304</v>
      </c>
      <c r="G604">
        <v>7.8</v>
      </c>
      <c r="H604">
        <v>72</v>
      </c>
      <c r="I604" t="s">
        <v>1736</v>
      </c>
      <c r="J604" s="3">
        <v>215315</v>
      </c>
      <c r="K604" s="3" t="str">
        <f t="shared" si="41"/>
        <v>Don't Watch</v>
      </c>
      <c r="L604" s="3" t="str">
        <f t="shared" si="38"/>
        <v>Don't Watch</v>
      </c>
      <c r="M604" s="3"/>
      <c r="N604" s="3" t="str">
        <f t="shared" si="39"/>
        <v>Maybe</v>
      </c>
      <c r="O604" t="s">
        <v>1737</v>
      </c>
      <c r="P604" t="b">
        <f t="shared" si="40"/>
        <v>0</v>
      </c>
    </row>
    <row r="605" spans="1:16" x14ac:dyDescent="0.25">
      <c r="A605">
        <v>604</v>
      </c>
      <c r="B605" t="s">
        <v>1738</v>
      </c>
      <c r="C605">
        <v>-2016</v>
      </c>
      <c r="D605" t="s">
        <v>30</v>
      </c>
      <c r="E605" t="s">
        <v>228</v>
      </c>
      <c r="F605" t="s">
        <v>64</v>
      </c>
      <c r="G605">
        <v>7.8</v>
      </c>
      <c r="H605">
        <v>75</v>
      </c>
      <c r="I605" t="s">
        <v>284</v>
      </c>
      <c r="J605" s="3">
        <v>761110</v>
      </c>
      <c r="K605" s="3" t="str">
        <f t="shared" si="41"/>
        <v>Don't Watch</v>
      </c>
      <c r="L605" s="3" t="str">
        <f t="shared" si="38"/>
        <v>Don't Watch</v>
      </c>
      <c r="M605" s="3"/>
      <c r="N605" s="3" t="str">
        <f t="shared" si="39"/>
        <v>Maybe</v>
      </c>
      <c r="O605" t="s">
        <v>1739</v>
      </c>
      <c r="P605" t="b">
        <f t="shared" si="40"/>
        <v>0</v>
      </c>
    </row>
    <row r="606" spans="1:16" x14ac:dyDescent="0.25">
      <c r="A606">
        <v>605</v>
      </c>
      <c r="B606" t="s">
        <v>1740</v>
      </c>
      <c r="C606">
        <v>-2015</v>
      </c>
      <c r="D606">
        <v>18</v>
      </c>
      <c r="E606" t="s">
        <v>181</v>
      </c>
      <c r="F606" t="s">
        <v>56</v>
      </c>
      <c r="G606">
        <v>7.8</v>
      </c>
      <c r="H606">
        <v>68</v>
      </c>
      <c r="I606" t="s">
        <v>60</v>
      </c>
      <c r="J606" s="3">
        <v>582632</v>
      </c>
      <c r="K606" s="3" t="str">
        <f t="shared" si="41"/>
        <v>Don't Watch</v>
      </c>
      <c r="L606" s="3" t="str">
        <f t="shared" si="38"/>
        <v>Don't Watch</v>
      </c>
      <c r="M606" s="3"/>
      <c r="N606" s="3" t="str">
        <f t="shared" si="39"/>
        <v>Maybe</v>
      </c>
      <c r="O606" t="s">
        <v>1741</v>
      </c>
      <c r="P606" t="b">
        <f t="shared" si="40"/>
        <v>0</v>
      </c>
    </row>
    <row r="607" spans="1:16" x14ac:dyDescent="0.25">
      <c r="A607">
        <v>606</v>
      </c>
      <c r="B607" t="s">
        <v>1742</v>
      </c>
      <c r="C607">
        <v>-2019</v>
      </c>
      <c r="D607" t="s">
        <v>49</v>
      </c>
      <c r="E607" t="s">
        <v>309</v>
      </c>
      <c r="F607" t="s">
        <v>78</v>
      </c>
      <c r="G607">
        <v>7.8</v>
      </c>
      <c r="H607">
        <v>91</v>
      </c>
      <c r="I607" t="s">
        <v>1743</v>
      </c>
      <c r="J607" s="3">
        <v>193965</v>
      </c>
      <c r="K607" s="3" t="str">
        <f t="shared" si="41"/>
        <v>Don't Watch</v>
      </c>
      <c r="L607" s="3" t="str">
        <f t="shared" si="38"/>
        <v>Don't Watch</v>
      </c>
      <c r="M607" s="3"/>
      <c r="N607" s="3" t="str">
        <f t="shared" si="39"/>
        <v>Maybe</v>
      </c>
      <c r="O607" t="s">
        <v>1744</v>
      </c>
      <c r="P607" t="b">
        <f t="shared" si="40"/>
        <v>0</v>
      </c>
    </row>
    <row r="608" spans="1:16" x14ac:dyDescent="0.25">
      <c r="A608">
        <v>607</v>
      </c>
      <c r="B608" t="s">
        <v>1745</v>
      </c>
      <c r="C608">
        <v>-2017</v>
      </c>
      <c r="D608" t="s">
        <v>30</v>
      </c>
      <c r="E608" t="s">
        <v>1057</v>
      </c>
      <c r="F608" t="s">
        <v>1746</v>
      </c>
      <c r="G608">
        <v>7.8</v>
      </c>
      <c r="H608">
        <v>62</v>
      </c>
      <c r="I608" t="s">
        <v>1747</v>
      </c>
      <c r="J608" s="3">
        <v>57206</v>
      </c>
      <c r="K608" s="3" t="str">
        <f t="shared" si="41"/>
        <v>Don't Watch</v>
      </c>
      <c r="L608" s="3" t="str">
        <f t="shared" si="38"/>
        <v>Don't Watch</v>
      </c>
      <c r="M608" s="3"/>
      <c r="N608" s="3" t="str">
        <f t="shared" si="39"/>
        <v>Maybe</v>
      </c>
      <c r="O608" t="s">
        <v>1087</v>
      </c>
      <c r="P608" t="b">
        <f t="shared" si="40"/>
        <v>0</v>
      </c>
    </row>
    <row r="609" spans="1:16" x14ac:dyDescent="0.25">
      <c r="A609">
        <v>608</v>
      </c>
      <c r="B609" t="s">
        <v>1748</v>
      </c>
      <c r="C609" t="s">
        <v>1075</v>
      </c>
      <c r="D609">
        <v>15</v>
      </c>
      <c r="E609" t="s">
        <v>202</v>
      </c>
      <c r="F609" t="s">
        <v>177</v>
      </c>
      <c r="G609">
        <v>7.8</v>
      </c>
      <c r="H609">
        <v>79</v>
      </c>
      <c r="I609" t="s">
        <v>1749</v>
      </c>
      <c r="J609" s="3">
        <v>56349</v>
      </c>
      <c r="K609" s="3" t="str">
        <f t="shared" si="41"/>
        <v>Don't Watch</v>
      </c>
      <c r="L609" s="3" t="str">
        <f t="shared" si="38"/>
        <v>Don't Watch</v>
      </c>
      <c r="M609" s="3"/>
      <c r="N609" s="3" t="str">
        <f t="shared" si="39"/>
        <v>Maybe</v>
      </c>
      <c r="P609" t="b">
        <f t="shared" si="40"/>
        <v>0</v>
      </c>
    </row>
    <row r="610" spans="1:16" x14ac:dyDescent="0.25">
      <c r="A610">
        <v>609</v>
      </c>
      <c r="B610" t="s">
        <v>1750</v>
      </c>
      <c r="C610">
        <v>-2014</v>
      </c>
      <c r="D610">
        <v>15</v>
      </c>
      <c r="E610" t="s">
        <v>232</v>
      </c>
      <c r="F610" t="s">
        <v>144</v>
      </c>
      <c r="G610">
        <v>7.8</v>
      </c>
      <c r="H610">
        <v>76</v>
      </c>
      <c r="I610" t="s">
        <v>1751</v>
      </c>
      <c r="J610" s="3">
        <v>528721</v>
      </c>
      <c r="K610" s="3" t="str">
        <f t="shared" si="41"/>
        <v>Don't Watch</v>
      </c>
      <c r="L610" s="3" t="str">
        <f t="shared" si="38"/>
        <v>Don't Watch</v>
      </c>
      <c r="M610" s="3"/>
      <c r="N610" s="3" t="str">
        <f t="shared" si="39"/>
        <v>Maybe</v>
      </c>
      <c r="O610" t="s">
        <v>1752</v>
      </c>
      <c r="P610" t="b">
        <f t="shared" si="40"/>
        <v>0</v>
      </c>
    </row>
    <row r="611" spans="1:16" x14ac:dyDescent="0.25">
      <c r="A611">
        <v>610</v>
      </c>
      <c r="B611" t="s">
        <v>1753</v>
      </c>
      <c r="C611">
        <v>-2015</v>
      </c>
      <c r="D611" t="s">
        <v>30</v>
      </c>
      <c r="E611" t="s">
        <v>515</v>
      </c>
      <c r="F611" t="s">
        <v>64</v>
      </c>
      <c r="G611">
        <v>7.8</v>
      </c>
      <c r="H611">
        <v>80</v>
      </c>
      <c r="I611" t="s">
        <v>1474</v>
      </c>
      <c r="J611" s="3">
        <v>914538</v>
      </c>
      <c r="K611" s="3" t="str">
        <f t="shared" si="41"/>
        <v>Don't Watch</v>
      </c>
      <c r="L611" s="3" t="str">
        <f t="shared" si="38"/>
        <v>Don't Watch</v>
      </c>
      <c r="M611" s="3"/>
      <c r="N611" s="3" t="str">
        <f t="shared" si="39"/>
        <v>Maybe</v>
      </c>
      <c r="O611" t="s">
        <v>1754</v>
      </c>
      <c r="P611" t="b">
        <f t="shared" si="40"/>
        <v>0</v>
      </c>
    </row>
    <row r="612" spans="1:16" x14ac:dyDescent="0.25">
      <c r="A612">
        <v>611</v>
      </c>
      <c r="B612" t="s">
        <v>1755</v>
      </c>
      <c r="C612">
        <v>-2013</v>
      </c>
      <c r="D612" t="s">
        <v>74</v>
      </c>
      <c r="E612" t="s">
        <v>418</v>
      </c>
      <c r="F612" t="s">
        <v>78</v>
      </c>
      <c r="G612">
        <v>7.8</v>
      </c>
      <c r="H612">
        <v>76</v>
      </c>
      <c r="I612" t="s">
        <v>1756</v>
      </c>
      <c r="J612" s="3">
        <v>55646</v>
      </c>
      <c r="K612" s="3" t="str">
        <f t="shared" si="41"/>
        <v>Don't Watch</v>
      </c>
      <c r="L612" s="3" t="str">
        <f t="shared" si="38"/>
        <v>Don't Watch</v>
      </c>
      <c r="M612" s="3"/>
      <c r="N612" s="3" t="str">
        <f t="shared" si="39"/>
        <v>Maybe</v>
      </c>
      <c r="O612" t="s">
        <v>1757</v>
      </c>
      <c r="P612" t="b">
        <f t="shared" si="40"/>
        <v>0</v>
      </c>
    </row>
    <row r="613" spans="1:16" x14ac:dyDescent="0.25">
      <c r="A613">
        <v>612</v>
      </c>
      <c r="B613" t="s">
        <v>1758</v>
      </c>
      <c r="C613">
        <v>-2012</v>
      </c>
      <c r="D613" t="s">
        <v>30</v>
      </c>
      <c r="E613" t="s">
        <v>263</v>
      </c>
      <c r="F613" t="s">
        <v>414</v>
      </c>
      <c r="G613">
        <v>7.8</v>
      </c>
      <c r="I613" t="s">
        <v>185</v>
      </c>
      <c r="J613" s="3">
        <v>43014</v>
      </c>
      <c r="K613" s="3" t="str">
        <f t="shared" si="41"/>
        <v>Don't Watch</v>
      </c>
      <c r="L613" s="3" t="str">
        <f t="shared" si="38"/>
        <v>Don't Watch</v>
      </c>
      <c r="M613" s="3"/>
      <c r="N613" s="3" t="str">
        <f t="shared" si="39"/>
        <v>Maybe</v>
      </c>
      <c r="O613" t="s">
        <v>904</v>
      </c>
      <c r="P613" t="b">
        <f t="shared" si="40"/>
        <v>0</v>
      </c>
    </row>
    <row r="614" spans="1:16" x14ac:dyDescent="0.25">
      <c r="A614">
        <v>613</v>
      </c>
      <c r="B614" t="s">
        <v>1759</v>
      </c>
      <c r="C614">
        <v>-2014</v>
      </c>
      <c r="D614" t="s">
        <v>74</v>
      </c>
      <c r="E614" t="s">
        <v>249</v>
      </c>
      <c r="F614" t="s">
        <v>279</v>
      </c>
      <c r="G614">
        <v>7.8</v>
      </c>
      <c r="H614">
        <v>74</v>
      </c>
      <c r="I614" t="s">
        <v>1760</v>
      </c>
      <c r="J614" s="3">
        <v>451051</v>
      </c>
      <c r="K614" s="3" t="str">
        <f t="shared" si="41"/>
        <v>Don't Watch</v>
      </c>
      <c r="L614" s="3" t="str">
        <f t="shared" si="38"/>
        <v>Don't Watch</v>
      </c>
      <c r="M614" s="3"/>
      <c r="N614" s="3" t="str">
        <f t="shared" si="39"/>
        <v>Maybe</v>
      </c>
      <c r="O614" t="s">
        <v>1761</v>
      </c>
      <c r="P614" t="b">
        <f t="shared" si="40"/>
        <v>0</v>
      </c>
    </row>
    <row r="615" spans="1:16" x14ac:dyDescent="0.25">
      <c r="A615">
        <v>614</v>
      </c>
      <c r="B615" t="s">
        <v>1762</v>
      </c>
      <c r="C615" t="s">
        <v>790</v>
      </c>
      <c r="D615" t="s">
        <v>30</v>
      </c>
      <c r="E615" t="s">
        <v>384</v>
      </c>
      <c r="F615" t="s">
        <v>769</v>
      </c>
      <c r="G615">
        <v>7.8</v>
      </c>
      <c r="H615">
        <v>55</v>
      </c>
      <c r="I615" t="s">
        <v>1763</v>
      </c>
      <c r="J615" s="3">
        <v>340440</v>
      </c>
      <c r="K615" s="3" t="str">
        <f t="shared" si="41"/>
        <v>Don't Watch</v>
      </c>
      <c r="L615" s="3" t="str">
        <f t="shared" si="38"/>
        <v>Don't Watch</v>
      </c>
      <c r="M615" s="3"/>
      <c r="N615" s="3" t="str">
        <f t="shared" si="39"/>
        <v>Maybe</v>
      </c>
      <c r="O615" t="s">
        <v>1764</v>
      </c>
      <c r="P615" t="b">
        <f t="shared" si="40"/>
        <v>0</v>
      </c>
    </row>
    <row r="616" spans="1:16" x14ac:dyDescent="0.25">
      <c r="A616">
        <v>615</v>
      </c>
      <c r="B616" t="s">
        <v>1765</v>
      </c>
      <c r="C616">
        <v>-2012</v>
      </c>
      <c r="D616" t="s">
        <v>74</v>
      </c>
      <c r="E616" t="s">
        <v>331</v>
      </c>
      <c r="F616" t="s">
        <v>508</v>
      </c>
      <c r="G616">
        <v>7.8</v>
      </c>
      <c r="I616" t="s">
        <v>1766</v>
      </c>
      <c r="J616" s="3">
        <v>36153</v>
      </c>
      <c r="K616" s="3" t="str">
        <f t="shared" si="41"/>
        <v>Don't Watch</v>
      </c>
      <c r="L616" s="3" t="str">
        <f t="shared" si="38"/>
        <v>Don't Watch</v>
      </c>
      <c r="M616" s="3"/>
      <c r="N616" s="3" t="str">
        <f t="shared" si="39"/>
        <v>Maybe</v>
      </c>
      <c r="O616" t="s">
        <v>1767</v>
      </c>
      <c r="P616" t="b">
        <f t="shared" si="40"/>
        <v>0</v>
      </c>
    </row>
    <row r="617" spans="1:16" x14ac:dyDescent="0.25">
      <c r="A617">
        <v>616</v>
      </c>
      <c r="B617" t="s">
        <v>1768</v>
      </c>
      <c r="C617">
        <v>-2013</v>
      </c>
      <c r="D617">
        <v>15</v>
      </c>
      <c r="E617" t="s">
        <v>388</v>
      </c>
      <c r="F617" t="s">
        <v>56</v>
      </c>
      <c r="G617">
        <v>7.8</v>
      </c>
      <c r="H617">
        <v>49</v>
      </c>
      <c r="I617" t="s">
        <v>218</v>
      </c>
      <c r="J617" s="3">
        <v>117786</v>
      </c>
      <c r="K617" s="3" t="str">
        <f t="shared" si="41"/>
        <v>Don't Watch</v>
      </c>
      <c r="L617" s="3" t="str">
        <f t="shared" si="38"/>
        <v>Don't Watch</v>
      </c>
      <c r="M617" s="3"/>
      <c r="N617" s="3" t="str">
        <f t="shared" si="39"/>
        <v>Maybe</v>
      </c>
      <c r="O617" t="s">
        <v>1648</v>
      </c>
      <c r="P617" t="b">
        <f t="shared" si="40"/>
        <v>0</v>
      </c>
    </row>
    <row r="618" spans="1:16" x14ac:dyDescent="0.25">
      <c r="A618">
        <v>617</v>
      </c>
      <c r="B618" t="s">
        <v>1769</v>
      </c>
      <c r="C618">
        <v>-2014</v>
      </c>
      <c r="D618" t="s">
        <v>30</v>
      </c>
      <c r="E618" t="s">
        <v>89</v>
      </c>
      <c r="F618" t="s">
        <v>64</v>
      </c>
      <c r="G618">
        <v>7.8</v>
      </c>
      <c r="H618">
        <v>70</v>
      </c>
      <c r="I618" t="s">
        <v>284</v>
      </c>
      <c r="J618" s="3">
        <v>822702</v>
      </c>
      <c r="K618" s="3" t="str">
        <f t="shared" si="41"/>
        <v>Don't Watch</v>
      </c>
      <c r="L618" s="3" t="str">
        <f t="shared" si="38"/>
        <v>Don't Watch</v>
      </c>
      <c r="M618" s="3"/>
      <c r="N618" s="3" t="str">
        <f t="shared" si="39"/>
        <v>Maybe</v>
      </c>
      <c r="O618" t="s">
        <v>1770</v>
      </c>
      <c r="P618" t="b">
        <f t="shared" si="40"/>
        <v>0</v>
      </c>
    </row>
    <row r="619" spans="1:16" x14ac:dyDescent="0.25">
      <c r="A619">
        <v>618</v>
      </c>
      <c r="B619" t="s">
        <v>1771</v>
      </c>
      <c r="C619">
        <v>-2011</v>
      </c>
      <c r="D619">
        <v>15</v>
      </c>
      <c r="E619" t="s">
        <v>1772</v>
      </c>
      <c r="F619" t="s">
        <v>26</v>
      </c>
      <c r="G619">
        <v>7.8</v>
      </c>
      <c r="H619">
        <v>82</v>
      </c>
      <c r="I619" t="s">
        <v>1084</v>
      </c>
      <c r="J619" s="3">
        <v>46090</v>
      </c>
      <c r="K619" s="3" t="str">
        <f t="shared" si="41"/>
        <v>Don't Watch</v>
      </c>
      <c r="L619" s="3" t="str">
        <f t="shared" si="38"/>
        <v>Don't Watch</v>
      </c>
      <c r="M619" s="3"/>
      <c r="N619" s="3" t="str">
        <f t="shared" si="39"/>
        <v>Maybe</v>
      </c>
      <c r="O619" t="s">
        <v>764</v>
      </c>
      <c r="P619" t="b">
        <f t="shared" si="40"/>
        <v>0</v>
      </c>
    </row>
    <row r="620" spans="1:16" x14ac:dyDescent="0.25">
      <c r="A620">
        <v>619</v>
      </c>
      <c r="B620" t="s">
        <v>1773</v>
      </c>
      <c r="C620">
        <v>-2012</v>
      </c>
      <c r="D620" t="s">
        <v>30</v>
      </c>
      <c r="E620" t="s">
        <v>1057</v>
      </c>
      <c r="F620" t="s">
        <v>132</v>
      </c>
      <c r="G620">
        <v>7.8</v>
      </c>
      <c r="H620">
        <v>84</v>
      </c>
      <c r="I620" t="s">
        <v>774</v>
      </c>
      <c r="J620" s="3">
        <v>345489</v>
      </c>
      <c r="K620" s="3" t="str">
        <f t="shared" si="41"/>
        <v>Don't Watch</v>
      </c>
      <c r="L620" s="3" t="str">
        <f t="shared" si="38"/>
        <v>Don't Watch</v>
      </c>
      <c r="M620" s="3"/>
      <c r="N620" s="3" t="str">
        <f t="shared" si="39"/>
        <v>Maybe</v>
      </c>
      <c r="O620" t="s">
        <v>1774</v>
      </c>
      <c r="P620" t="b">
        <f t="shared" si="40"/>
        <v>0</v>
      </c>
    </row>
    <row r="621" spans="1:16" x14ac:dyDescent="0.25">
      <c r="A621">
        <v>620</v>
      </c>
      <c r="B621" t="s">
        <v>1775</v>
      </c>
      <c r="C621">
        <v>-2014</v>
      </c>
      <c r="D621" t="s">
        <v>74</v>
      </c>
      <c r="E621" t="s">
        <v>249</v>
      </c>
      <c r="F621" t="s">
        <v>279</v>
      </c>
      <c r="G621">
        <v>7.8</v>
      </c>
      <c r="H621">
        <v>77</v>
      </c>
      <c r="I621" t="s">
        <v>831</v>
      </c>
      <c r="J621" s="3">
        <v>329706</v>
      </c>
      <c r="K621" s="3" t="str">
        <f t="shared" si="41"/>
        <v>Don't Watch</v>
      </c>
      <c r="L621" s="3" t="str">
        <f t="shared" si="38"/>
        <v>Don't Watch</v>
      </c>
      <c r="M621" s="3"/>
      <c r="N621" s="3" t="str">
        <f t="shared" si="39"/>
        <v>Maybe</v>
      </c>
      <c r="O621" t="s">
        <v>1776</v>
      </c>
      <c r="P621" t="b">
        <f t="shared" si="40"/>
        <v>0</v>
      </c>
    </row>
    <row r="622" spans="1:16" x14ac:dyDescent="0.25">
      <c r="A622">
        <v>621</v>
      </c>
      <c r="B622" t="s">
        <v>1777</v>
      </c>
      <c r="C622">
        <v>-2015</v>
      </c>
      <c r="D622">
        <v>15</v>
      </c>
      <c r="E622" t="s">
        <v>108</v>
      </c>
      <c r="F622" t="s">
        <v>177</v>
      </c>
      <c r="G622">
        <v>7.8</v>
      </c>
      <c r="H622">
        <v>81</v>
      </c>
      <c r="I622" t="s">
        <v>1778</v>
      </c>
      <c r="J622" s="3">
        <v>419242</v>
      </c>
      <c r="K622" s="3" t="str">
        <f t="shared" si="41"/>
        <v>Don't Watch</v>
      </c>
      <c r="L622" s="3" t="str">
        <f t="shared" si="38"/>
        <v>Don't Watch</v>
      </c>
      <c r="M622" s="3"/>
      <c r="N622" s="3" t="str">
        <f t="shared" si="39"/>
        <v>Maybe</v>
      </c>
      <c r="O622" t="s">
        <v>1779</v>
      </c>
      <c r="P622" t="b">
        <f t="shared" si="40"/>
        <v>0</v>
      </c>
    </row>
    <row r="623" spans="1:16" x14ac:dyDescent="0.25">
      <c r="A623">
        <v>622</v>
      </c>
      <c r="B623" t="s">
        <v>1780</v>
      </c>
      <c r="C623">
        <v>-2010</v>
      </c>
      <c r="D623">
        <v>18</v>
      </c>
      <c r="E623" t="s">
        <v>1072</v>
      </c>
      <c r="F623" t="s">
        <v>32</v>
      </c>
      <c r="G623">
        <v>7.8</v>
      </c>
      <c r="H623">
        <v>67</v>
      </c>
      <c r="I623" t="s">
        <v>1781</v>
      </c>
      <c r="J623" s="3">
        <v>127225</v>
      </c>
      <c r="K623" s="3" t="str">
        <f t="shared" si="41"/>
        <v>Don't Watch</v>
      </c>
      <c r="L623" s="3" t="str">
        <f t="shared" si="38"/>
        <v>Don't Watch</v>
      </c>
      <c r="M623" s="3"/>
      <c r="N623" s="3" t="str">
        <f t="shared" si="39"/>
        <v>Maybe</v>
      </c>
      <c r="O623" t="s">
        <v>1782</v>
      </c>
      <c r="P623" t="b">
        <f t="shared" si="40"/>
        <v>0</v>
      </c>
    </row>
    <row r="624" spans="1:16" x14ac:dyDescent="0.25">
      <c r="A624">
        <v>623</v>
      </c>
      <c r="B624" t="s">
        <v>1783</v>
      </c>
      <c r="C624">
        <v>-2011</v>
      </c>
      <c r="D624">
        <v>18</v>
      </c>
      <c r="E624" t="s">
        <v>272</v>
      </c>
      <c r="F624" t="s">
        <v>56</v>
      </c>
      <c r="G624">
        <v>7.8</v>
      </c>
      <c r="H624">
        <v>71</v>
      </c>
      <c r="I624" t="s">
        <v>71</v>
      </c>
      <c r="J624" s="3">
        <v>457445</v>
      </c>
      <c r="K624" s="3" t="str">
        <f t="shared" si="41"/>
        <v>Don't Watch</v>
      </c>
      <c r="L624" s="3" t="str">
        <f t="shared" si="38"/>
        <v>Don't Watch</v>
      </c>
      <c r="M624" s="3"/>
      <c r="N624" s="3" t="str">
        <f t="shared" si="39"/>
        <v>Maybe</v>
      </c>
      <c r="O624" t="s">
        <v>1784</v>
      </c>
      <c r="P624" t="b">
        <f t="shared" si="40"/>
        <v>0</v>
      </c>
    </row>
    <row r="625" spans="1:16" x14ac:dyDescent="0.25">
      <c r="A625">
        <v>624</v>
      </c>
      <c r="B625" t="s">
        <v>1785</v>
      </c>
      <c r="C625">
        <v>-2013</v>
      </c>
      <c r="D625" t="s">
        <v>30</v>
      </c>
      <c r="E625" t="s">
        <v>331</v>
      </c>
      <c r="F625" t="s">
        <v>553</v>
      </c>
      <c r="G625">
        <v>7.8</v>
      </c>
      <c r="H625">
        <v>82</v>
      </c>
      <c r="I625" t="s">
        <v>1154</v>
      </c>
      <c r="J625" s="3">
        <v>453184</v>
      </c>
      <c r="K625" s="3" t="str">
        <f t="shared" si="41"/>
        <v>Don't Watch</v>
      </c>
      <c r="L625" s="3" t="str">
        <f t="shared" si="38"/>
        <v>Don't Watch</v>
      </c>
      <c r="M625" s="3"/>
      <c r="N625" s="3" t="str">
        <f t="shared" si="39"/>
        <v>Maybe</v>
      </c>
      <c r="O625" t="s">
        <v>1786</v>
      </c>
      <c r="P625" t="b">
        <f t="shared" si="40"/>
        <v>0</v>
      </c>
    </row>
    <row r="626" spans="1:16" x14ac:dyDescent="0.25">
      <c r="A626">
        <v>625</v>
      </c>
      <c r="B626" t="s">
        <v>1787</v>
      </c>
      <c r="C626">
        <v>-2015</v>
      </c>
      <c r="D626">
        <v>15</v>
      </c>
      <c r="E626" t="s">
        <v>228</v>
      </c>
      <c r="F626" t="s">
        <v>42</v>
      </c>
      <c r="G626">
        <v>7.8</v>
      </c>
      <c r="H626">
        <v>72</v>
      </c>
      <c r="I626" t="s">
        <v>1788</v>
      </c>
      <c r="J626" s="3">
        <v>198578</v>
      </c>
      <c r="K626" s="3" t="str">
        <f t="shared" si="41"/>
        <v>Don't Watch</v>
      </c>
      <c r="L626" s="3" t="str">
        <f t="shared" si="38"/>
        <v>Don't Watch</v>
      </c>
      <c r="M626" s="3"/>
      <c r="N626" s="3" t="str">
        <f t="shared" si="39"/>
        <v>Maybe</v>
      </c>
      <c r="O626" t="s">
        <v>1789</v>
      </c>
      <c r="P626" t="b">
        <f t="shared" si="40"/>
        <v>0</v>
      </c>
    </row>
    <row r="627" spans="1:16" x14ac:dyDescent="0.25">
      <c r="A627">
        <v>626</v>
      </c>
      <c r="B627" t="s">
        <v>1790</v>
      </c>
      <c r="C627">
        <v>-2019</v>
      </c>
      <c r="D627">
        <v>15</v>
      </c>
      <c r="E627" t="s">
        <v>1791</v>
      </c>
      <c r="F627" t="s">
        <v>95</v>
      </c>
      <c r="G627">
        <v>7.8</v>
      </c>
      <c r="H627">
        <v>94</v>
      </c>
      <c r="I627" t="s">
        <v>96</v>
      </c>
      <c r="J627" s="3">
        <v>375306</v>
      </c>
      <c r="K627" s="3" t="str">
        <f t="shared" si="41"/>
        <v>Don't Watch</v>
      </c>
      <c r="L627" s="3" t="str">
        <f t="shared" si="38"/>
        <v>Don't Watch</v>
      </c>
      <c r="M627" s="3"/>
      <c r="N627" s="3" t="str">
        <f t="shared" si="39"/>
        <v>Maybe</v>
      </c>
      <c r="O627" t="s">
        <v>1792</v>
      </c>
      <c r="P627" t="b">
        <f t="shared" si="40"/>
        <v>0</v>
      </c>
    </row>
    <row r="628" spans="1:16" x14ac:dyDescent="0.25">
      <c r="A628">
        <v>627</v>
      </c>
      <c r="B628" t="s">
        <v>1793</v>
      </c>
      <c r="C628">
        <v>-2010</v>
      </c>
      <c r="D628" t="s">
        <v>30</v>
      </c>
      <c r="E628" t="s">
        <v>811</v>
      </c>
      <c r="F628" t="s">
        <v>606</v>
      </c>
      <c r="G628">
        <v>7.8</v>
      </c>
      <c r="H628">
        <v>95</v>
      </c>
      <c r="I628" t="s">
        <v>71</v>
      </c>
      <c r="J628" s="3">
        <v>687311</v>
      </c>
      <c r="K628" s="3" t="str">
        <f t="shared" si="41"/>
        <v>Don't Watch</v>
      </c>
      <c r="L628" s="3" t="str">
        <f t="shared" si="38"/>
        <v>Don't Watch</v>
      </c>
      <c r="M628" s="3"/>
      <c r="N628" s="3" t="str">
        <f t="shared" si="39"/>
        <v>Maybe</v>
      </c>
      <c r="O628" t="s">
        <v>1794</v>
      </c>
      <c r="P628" t="b">
        <f t="shared" si="40"/>
        <v>0</v>
      </c>
    </row>
    <row r="629" spans="1:16" x14ac:dyDescent="0.25">
      <c r="A629">
        <v>628</v>
      </c>
      <c r="B629" t="s">
        <v>1795</v>
      </c>
      <c r="C629">
        <v>-2009</v>
      </c>
      <c r="D629">
        <v>18</v>
      </c>
      <c r="E629" t="s">
        <v>198</v>
      </c>
      <c r="F629" t="s">
        <v>26</v>
      </c>
      <c r="G629">
        <v>7.8</v>
      </c>
      <c r="H629">
        <v>90</v>
      </c>
      <c r="I629" t="s">
        <v>1796</v>
      </c>
      <c r="J629" s="3">
        <v>98142</v>
      </c>
      <c r="K629" s="3" t="str">
        <f t="shared" si="41"/>
        <v>Don't Watch</v>
      </c>
      <c r="L629" s="3" t="str">
        <f t="shared" si="38"/>
        <v>Don't Watch</v>
      </c>
      <c r="M629" s="3"/>
      <c r="N629" s="3" t="str">
        <f t="shared" si="39"/>
        <v>Maybe</v>
      </c>
      <c r="O629" t="s">
        <v>1045</v>
      </c>
      <c r="P629" t="b">
        <f t="shared" si="40"/>
        <v>0</v>
      </c>
    </row>
    <row r="630" spans="1:16" x14ac:dyDescent="0.25">
      <c r="A630">
        <v>629</v>
      </c>
      <c r="B630" t="s">
        <v>1797</v>
      </c>
      <c r="C630">
        <v>-2009</v>
      </c>
      <c r="D630">
        <v>15</v>
      </c>
      <c r="E630" t="s">
        <v>452</v>
      </c>
      <c r="F630" t="s">
        <v>56</v>
      </c>
      <c r="G630">
        <v>7.8</v>
      </c>
      <c r="H630">
        <v>79</v>
      </c>
      <c r="I630" t="s">
        <v>168</v>
      </c>
      <c r="J630" s="3">
        <v>62708</v>
      </c>
      <c r="K630" s="3" t="str">
        <f t="shared" si="41"/>
        <v>Don't Watch</v>
      </c>
      <c r="L630" s="3" t="str">
        <f t="shared" si="38"/>
        <v>Don't Watch</v>
      </c>
      <c r="M630" s="3"/>
      <c r="N630" s="3" t="str">
        <f t="shared" si="39"/>
        <v>Maybe</v>
      </c>
      <c r="O630" t="s">
        <v>1263</v>
      </c>
      <c r="P630" t="b">
        <f t="shared" si="40"/>
        <v>0</v>
      </c>
    </row>
    <row r="631" spans="1:16" x14ac:dyDescent="0.25">
      <c r="A631">
        <v>630</v>
      </c>
      <c r="B631" t="s">
        <v>1798</v>
      </c>
      <c r="C631">
        <v>-2008</v>
      </c>
      <c r="D631">
        <v>18</v>
      </c>
      <c r="E631" t="s">
        <v>119</v>
      </c>
      <c r="F631" t="s">
        <v>32</v>
      </c>
      <c r="G631">
        <v>7.8</v>
      </c>
      <c r="H631">
        <v>64</v>
      </c>
      <c r="I631" t="s">
        <v>1799</v>
      </c>
      <c r="J631" s="3">
        <v>65380</v>
      </c>
      <c r="K631" s="3" t="str">
        <f t="shared" si="41"/>
        <v>Don't Watch</v>
      </c>
      <c r="L631" s="3" t="str">
        <f t="shared" si="38"/>
        <v>Don't Watch</v>
      </c>
      <c r="M631" s="3"/>
      <c r="N631" s="3" t="str">
        <f t="shared" si="39"/>
        <v>Maybe</v>
      </c>
      <c r="P631" t="b">
        <f t="shared" si="40"/>
        <v>0</v>
      </c>
    </row>
    <row r="632" spans="1:16" x14ac:dyDescent="0.25">
      <c r="A632">
        <v>631</v>
      </c>
      <c r="B632" t="s">
        <v>1800</v>
      </c>
      <c r="C632">
        <v>-2009</v>
      </c>
      <c r="D632">
        <v>15</v>
      </c>
      <c r="E632" t="s">
        <v>576</v>
      </c>
      <c r="F632" t="s">
        <v>187</v>
      </c>
      <c r="G632">
        <v>7.8</v>
      </c>
      <c r="H632">
        <v>67</v>
      </c>
      <c r="I632" t="s">
        <v>1801</v>
      </c>
      <c r="J632" s="3">
        <v>355378</v>
      </c>
      <c r="K632" s="3" t="str">
        <f t="shared" si="41"/>
        <v>Don't Watch</v>
      </c>
      <c r="L632" s="3" t="str">
        <f t="shared" si="38"/>
        <v>Don't Watch</v>
      </c>
      <c r="M632" s="3"/>
      <c r="N632" s="3" t="str">
        <f t="shared" si="39"/>
        <v>Maybe</v>
      </c>
      <c r="O632" t="s">
        <v>699</v>
      </c>
      <c r="P632" t="b">
        <f t="shared" si="40"/>
        <v>0</v>
      </c>
    </row>
    <row r="633" spans="1:16" x14ac:dyDescent="0.25">
      <c r="A633">
        <v>632</v>
      </c>
      <c r="B633" t="s">
        <v>1802</v>
      </c>
      <c r="C633">
        <v>-2013</v>
      </c>
      <c r="D633" t="s">
        <v>30</v>
      </c>
      <c r="E633" t="s">
        <v>376</v>
      </c>
      <c r="F633" t="s">
        <v>1803</v>
      </c>
      <c r="G633">
        <v>7.8</v>
      </c>
      <c r="H633">
        <v>66</v>
      </c>
      <c r="I633" t="s">
        <v>38</v>
      </c>
      <c r="J633" s="3">
        <v>646085</v>
      </c>
      <c r="K633" s="3" t="str">
        <f t="shared" si="41"/>
        <v>Don't Watch</v>
      </c>
      <c r="L633" s="3" t="str">
        <f t="shared" si="38"/>
        <v>Don't Watch</v>
      </c>
      <c r="M633" s="3"/>
      <c r="N633" s="3" t="str">
        <f t="shared" si="39"/>
        <v>Maybe</v>
      </c>
      <c r="O633" t="s">
        <v>1804</v>
      </c>
      <c r="P633" t="b">
        <f t="shared" si="40"/>
        <v>0</v>
      </c>
    </row>
    <row r="634" spans="1:16" x14ac:dyDescent="0.25">
      <c r="A634">
        <v>633</v>
      </c>
      <c r="B634" t="s">
        <v>1805</v>
      </c>
      <c r="C634">
        <v>-2009</v>
      </c>
      <c r="D634">
        <v>15</v>
      </c>
      <c r="E634" t="s">
        <v>1072</v>
      </c>
      <c r="F634" t="s">
        <v>317</v>
      </c>
      <c r="G634">
        <v>7.8</v>
      </c>
      <c r="H634">
        <v>82</v>
      </c>
      <c r="I634" t="s">
        <v>1445</v>
      </c>
      <c r="J634" s="3">
        <v>73211</v>
      </c>
      <c r="K634" s="3" t="str">
        <f t="shared" si="41"/>
        <v>Don't Watch</v>
      </c>
      <c r="L634" s="3" t="str">
        <f t="shared" si="38"/>
        <v>Don't Watch</v>
      </c>
      <c r="M634" s="3"/>
      <c r="N634" s="3" t="str">
        <f t="shared" si="39"/>
        <v>Maybe</v>
      </c>
      <c r="O634" t="s">
        <v>1145</v>
      </c>
      <c r="P634" t="b">
        <f t="shared" si="40"/>
        <v>0</v>
      </c>
    </row>
    <row r="635" spans="1:16" x14ac:dyDescent="0.25">
      <c r="A635">
        <v>634</v>
      </c>
      <c r="B635" t="s">
        <v>1783</v>
      </c>
      <c r="C635">
        <v>-2009</v>
      </c>
      <c r="D635">
        <v>18</v>
      </c>
      <c r="E635" t="s">
        <v>31</v>
      </c>
      <c r="F635" t="s">
        <v>56</v>
      </c>
      <c r="G635">
        <v>7.8</v>
      </c>
      <c r="H635">
        <v>76</v>
      </c>
      <c r="I635" t="s">
        <v>1806</v>
      </c>
      <c r="J635" s="3">
        <v>216016</v>
      </c>
      <c r="K635" s="3" t="str">
        <f t="shared" si="41"/>
        <v>Don't Watch</v>
      </c>
      <c r="L635" s="3" t="str">
        <f t="shared" si="38"/>
        <v>Don't Watch</v>
      </c>
      <c r="M635" s="3"/>
      <c r="N635" s="3" t="str">
        <f t="shared" si="39"/>
        <v>Maybe</v>
      </c>
      <c r="O635" t="s">
        <v>1807</v>
      </c>
      <c r="P635" t="b">
        <f t="shared" si="40"/>
        <v>0</v>
      </c>
    </row>
    <row r="636" spans="1:16" x14ac:dyDescent="0.25">
      <c r="A636">
        <v>635</v>
      </c>
      <c r="B636" t="s">
        <v>1808</v>
      </c>
      <c r="C636">
        <v>-2012</v>
      </c>
      <c r="D636" t="s">
        <v>30</v>
      </c>
      <c r="E636" t="s">
        <v>354</v>
      </c>
      <c r="F636" t="s">
        <v>1171</v>
      </c>
      <c r="G636">
        <v>7.8</v>
      </c>
      <c r="H636">
        <v>81</v>
      </c>
      <c r="I636" t="s">
        <v>328</v>
      </c>
      <c r="J636" s="3">
        <v>688051</v>
      </c>
      <c r="K636" s="3" t="str">
        <f t="shared" si="41"/>
        <v>Don't Watch</v>
      </c>
      <c r="L636" s="3" t="str">
        <f t="shared" si="38"/>
        <v>Don't Watch</v>
      </c>
      <c r="M636" s="3"/>
      <c r="N636" s="3" t="str">
        <f t="shared" si="39"/>
        <v>Maybe</v>
      </c>
      <c r="O636" t="s">
        <v>1809</v>
      </c>
      <c r="P636" t="b">
        <f t="shared" si="40"/>
        <v>0</v>
      </c>
    </row>
    <row r="637" spans="1:16" x14ac:dyDescent="0.25">
      <c r="A637">
        <v>636</v>
      </c>
      <c r="B637" t="s">
        <v>1810</v>
      </c>
      <c r="C637" t="s">
        <v>1811</v>
      </c>
      <c r="D637">
        <v>15</v>
      </c>
      <c r="E637" t="s">
        <v>131</v>
      </c>
      <c r="F637" t="s">
        <v>310</v>
      </c>
      <c r="G637">
        <v>7.8</v>
      </c>
      <c r="H637">
        <v>79</v>
      </c>
      <c r="I637" t="s">
        <v>1812</v>
      </c>
      <c r="J637" s="3">
        <v>362066</v>
      </c>
      <c r="K637" s="3" t="str">
        <f t="shared" si="41"/>
        <v>Don't Watch</v>
      </c>
      <c r="L637" s="3" t="str">
        <f t="shared" si="38"/>
        <v>Don't Watch</v>
      </c>
      <c r="M637" s="3"/>
      <c r="N637" s="3" t="str">
        <f t="shared" si="39"/>
        <v>Maybe</v>
      </c>
      <c r="O637" t="s">
        <v>1813</v>
      </c>
      <c r="P637" t="b">
        <f t="shared" si="40"/>
        <v>0</v>
      </c>
    </row>
    <row r="638" spans="1:16" x14ac:dyDescent="0.25">
      <c r="A638">
        <v>637</v>
      </c>
      <c r="B638" t="s">
        <v>1814</v>
      </c>
      <c r="C638" t="s">
        <v>1815</v>
      </c>
      <c r="D638">
        <v>18</v>
      </c>
      <c r="E638" t="s">
        <v>1244</v>
      </c>
      <c r="F638" t="s">
        <v>1175</v>
      </c>
      <c r="G638">
        <v>7.8</v>
      </c>
      <c r="H638">
        <v>51</v>
      </c>
      <c r="I638" t="s">
        <v>1816</v>
      </c>
      <c r="J638" s="3">
        <v>596042</v>
      </c>
      <c r="K638" s="3" t="str">
        <f t="shared" si="41"/>
        <v>Don't Watch</v>
      </c>
      <c r="L638" s="3" t="str">
        <f t="shared" si="38"/>
        <v>Don't Watch</v>
      </c>
      <c r="M638" s="3"/>
      <c r="N638" s="3" t="str">
        <f t="shared" si="39"/>
        <v>Maybe</v>
      </c>
      <c r="O638" t="s">
        <v>1817</v>
      </c>
      <c r="P638" t="b">
        <f t="shared" si="40"/>
        <v>0</v>
      </c>
    </row>
    <row r="639" spans="1:16" x14ac:dyDescent="0.25">
      <c r="A639">
        <v>638</v>
      </c>
      <c r="B639" t="s">
        <v>1818</v>
      </c>
      <c r="C639" t="s">
        <v>1819</v>
      </c>
      <c r="D639">
        <v>15</v>
      </c>
      <c r="E639" t="s">
        <v>890</v>
      </c>
      <c r="F639" t="s">
        <v>921</v>
      </c>
      <c r="G639">
        <v>7.8</v>
      </c>
      <c r="H639">
        <v>88</v>
      </c>
      <c r="I639" t="s">
        <v>1407</v>
      </c>
      <c r="J639" s="3">
        <v>116043</v>
      </c>
      <c r="K639" s="3" t="str">
        <f t="shared" si="41"/>
        <v>Don't Watch</v>
      </c>
      <c r="L639" s="3" t="str">
        <f t="shared" si="38"/>
        <v>Don't Watch</v>
      </c>
      <c r="M639" s="3"/>
      <c r="N639" s="3" t="str">
        <f t="shared" si="39"/>
        <v>Maybe</v>
      </c>
      <c r="O639" t="s">
        <v>1820</v>
      </c>
      <c r="P639" t="b">
        <f t="shared" si="40"/>
        <v>0</v>
      </c>
    </row>
    <row r="640" spans="1:16" x14ac:dyDescent="0.25">
      <c r="A640">
        <v>639</v>
      </c>
      <c r="B640" t="s">
        <v>1821</v>
      </c>
      <c r="C640">
        <v>-2012</v>
      </c>
      <c r="D640" t="s">
        <v>30</v>
      </c>
      <c r="E640" t="s">
        <v>112</v>
      </c>
      <c r="F640" t="s">
        <v>1803</v>
      </c>
      <c r="G640">
        <v>7.8</v>
      </c>
      <c r="H640">
        <v>58</v>
      </c>
      <c r="I640" t="s">
        <v>38</v>
      </c>
      <c r="J640" s="3">
        <v>806994</v>
      </c>
      <c r="K640" s="3" t="str">
        <f t="shared" si="41"/>
        <v>Don't Watch</v>
      </c>
      <c r="L640" s="3" t="str">
        <f t="shared" si="38"/>
        <v>Don't Watch</v>
      </c>
      <c r="M640" s="3"/>
      <c r="N640" s="3" t="str">
        <f t="shared" si="39"/>
        <v>Maybe</v>
      </c>
      <c r="O640" t="s">
        <v>1822</v>
      </c>
      <c r="P640" t="b">
        <f t="shared" si="40"/>
        <v>0</v>
      </c>
    </row>
    <row r="641" spans="1:16" x14ac:dyDescent="0.25">
      <c r="A641">
        <v>640</v>
      </c>
      <c r="B641" t="s">
        <v>1823</v>
      </c>
      <c r="C641">
        <v>-2008</v>
      </c>
      <c r="D641">
        <v>15</v>
      </c>
      <c r="E641" t="s">
        <v>163</v>
      </c>
      <c r="F641" t="s">
        <v>95</v>
      </c>
      <c r="G641">
        <v>7.8</v>
      </c>
      <c r="H641">
        <v>63</v>
      </c>
      <c r="I641" t="s">
        <v>635</v>
      </c>
      <c r="J641" s="3">
        <v>253575</v>
      </c>
      <c r="K641" s="3" t="str">
        <f t="shared" si="41"/>
        <v>Don't Watch</v>
      </c>
      <c r="L641" s="3" t="str">
        <f t="shared" si="38"/>
        <v>Don't Watch</v>
      </c>
      <c r="M641" s="3"/>
      <c r="N641" s="3" t="str">
        <f t="shared" si="39"/>
        <v>Maybe</v>
      </c>
      <c r="O641" t="s">
        <v>1824</v>
      </c>
      <c r="P641" t="b">
        <f t="shared" si="40"/>
        <v>0</v>
      </c>
    </row>
    <row r="642" spans="1:16" x14ac:dyDescent="0.25">
      <c r="A642">
        <v>641</v>
      </c>
      <c r="B642" t="s">
        <v>1825</v>
      </c>
      <c r="C642">
        <v>-2007</v>
      </c>
      <c r="D642">
        <v>15</v>
      </c>
      <c r="E642" t="s">
        <v>384</v>
      </c>
      <c r="F642" t="s">
        <v>557</v>
      </c>
      <c r="G642">
        <v>7.8</v>
      </c>
      <c r="H642">
        <v>85</v>
      </c>
      <c r="I642" t="s">
        <v>1826</v>
      </c>
      <c r="J642" s="3">
        <v>273923</v>
      </c>
      <c r="K642" s="3" t="str">
        <f t="shared" si="41"/>
        <v>Don't Watch</v>
      </c>
      <c r="L642" s="3" t="str">
        <f t="shared" si="38"/>
        <v>Don't Watch</v>
      </c>
      <c r="M642" s="3"/>
      <c r="N642" s="3" t="str">
        <f t="shared" si="39"/>
        <v>Maybe</v>
      </c>
      <c r="O642" t="s">
        <v>1827</v>
      </c>
      <c r="P642" t="b">
        <f t="shared" si="40"/>
        <v>0</v>
      </c>
    </row>
    <row r="643" spans="1:16" x14ac:dyDescent="0.25">
      <c r="A643">
        <v>642</v>
      </c>
      <c r="B643" t="s">
        <v>1828</v>
      </c>
      <c r="C643" t="s">
        <v>1438</v>
      </c>
      <c r="D643">
        <v>18</v>
      </c>
      <c r="E643" t="s">
        <v>613</v>
      </c>
      <c r="F643" t="s">
        <v>109</v>
      </c>
      <c r="G643">
        <v>7.8</v>
      </c>
      <c r="H643">
        <v>78</v>
      </c>
      <c r="I643" t="s">
        <v>1829</v>
      </c>
      <c r="J643" s="3">
        <v>622489</v>
      </c>
      <c r="K643" s="3" t="str">
        <f t="shared" si="41"/>
        <v>Don't Watch</v>
      </c>
      <c r="L643" s="3" t="str">
        <f t="shared" ref="L643:L706" si="42">IF(G643=9,"Must Watch",IF(G643=8,"Maybe","Don't Watch"))</f>
        <v>Don't Watch</v>
      </c>
      <c r="M643" s="3"/>
      <c r="N643" s="3" t="str">
        <f t="shared" ref="N643:N706" si="43">IF(I643="Billy Wilder", "Must Watch", IF(I643="John Ford", "Watch", "Maybe"))</f>
        <v>Maybe</v>
      </c>
      <c r="O643" t="s">
        <v>1830</v>
      </c>
      <c r="P643" t="b">
        <f t="shared" ref="P643:P706" si="44">ISNUMBER(B:B)</f>
        <v>0</v>
      </c>
    </row>
    <row r="644" spans="1:16" x14ac:dyDescent="0.25">
      <c r="A644">
        <v>643</v>
      </c>
      <c r="B644" t="s">
        <v>1831</v>
      </c>
      <c r="C644">
        <v>-2007</v>
      </c>
      <c r="D644">
        <v>18</v>
      </c>
      <c r="E644" t="s">
        <v>1772</v>
      </c>
      <c r="F644" t="s">
        <v>95</v>
      </c>
      <c r="G644">
        <v>7.8</v>
      </c>
      <c r="H644">
        <v>76</v>
      </c>
      <c r="I644" t="s">
        <v>199</v>
      </c>
      <c r="J644" s="3">
        <v>421127</v>
      </c>
      <c r="K644" s="3" t="str">
        <f t="shared" si="41"/>
        <v>Don't Watch</v>
      </c>
      <c r="L644" s="3" t="str">
        <f t="shared" si="42"/>
        <v>Don't Watch</v>
      </c>
      <c r="M644" s="3"/>
      <c r="N644" s="3" t="str">
        <f t="shared" si="43"/>
        <v>Maybe</v>
      </c>
      <c r="O644" t="s">
        <v>1832</v>
      </c>
      <c r="P644" t="b">
        <f t="shared" si="44"/>
        <v>0</v>
      </c>
    </row>
    <row r="645" spans="1:16" x14ac:dyDescent="0.25">
      <c r="A645">
        <v>644</v>
      </c>
      <c r="B645" t="s">
        <v>1833</v>
      </c>
      <c r="C645">
        <v>-2009</v>
      </c>
      <c r="D645" t="s">
        <v>30</v>
      </c>
      <c r="E645" t="s">
        <v>644</v>
      </c>
      <c r="F645" t="s">
        <v>100</v>
      </c>
      <c r="G645">
        <v>7.8</v>
      </c>
      <c r="H645">
        <v>83</v>
      </c>
      <c r="I645" t="s">
        <v>140</v>
      </c>
      <c r="J645" s="3">
        <v>1208816</v>
      </c>
      <c r="K645" s="3" t="str">
        <f t="shared" si="41"/>
        <v>Don't Watch</v>
      </c>
      <c r="L645" s="3" t="str">
        <f t="shared" si="42"/>
        <v>Don't Watch</v>
      </c>
      <c r="M645" s="3"/>
      <c r="N645" s="3" t="str">
        <f t="shared" si="43"/>
        <v>Maybe</v>
      </c>
      <c r="O645" t="s">
        <v>1834</v>
      </c>
      <c r="P645" t="b">
        <f t="shared" si="44"/>
        <v>0</v>
      </c>
    </row>
    <row r="646" spans="1:16" x14ac:dyDescent="0.25">
      <c r="A646">
        <v>645</v>
      </c>
      <c r="B646" t="s">
        <v>1835</v>
      </c>
      <c r="C646">
        <v>-2009</v>
      </c>
      <c r="D646">
        <v>15</v>
      </c>
      <c r="E646" t="s">
        <v>163</v>
      </c>
      <c r="F646" t="s">
        <v>1267</v>
      </c>
      <c r="G646">
        <v>7.8</v>
      </c>
      <c r="H646">
        <v>63</v>
      </c>
      <c r="I646" t="s">
        <v>1836</v>
      </c>
      <c r="J646" s="3">
        <v>231013</v>
      </c>
      <c r="K646" s="3" t="str">
        <f t="shared" si="41"/>
        <v>Don't Watch</v>
      </c>
      <c r="L646" s="3" t="str">
        <f t="shared" si="42"/>
        <v>Don't Watch</v>
      </c>
      <c r="M646" s="3"/>
      <c r="N646" s="3" t="str">
        <f t="shared" si="43"/>
        <v>Maybe</v>
      </c>
      <c r="O646" t="s">
        <v>1549</v>
      </c>
      <c r="P646" t="b">
        <f t="shared" si="44"/>
        <v>0</v>
      </c>
    </row>
    <row r="647" spans="1:16" x14ac:dyDescent="0.25">
      <c r="A647">
        <v>646</v>
      </c>
      <c r="B647" t="s">
        <v>1837</v>
      </c>
      <c r="C647">
        <v>-2006</v>
      </c>
      <c r="D647">
        <v>18</v>
      </c>
      <c r="E647" t="s">
        <v>70</v>
      </c>
      <c r="F647" t="s">
        <v>37</v>
      </c>
      <c r="G647">
        <v>7.8</v>
      </c>
      <c r="H647">
        <v>68</v>
      </c>
      <c r="I647" t="s">
        <v>335</v>
      </c>
      <c r="J647" s="3">
        <v>309343</v>
      </c>
      <c r="K647" s="3" t="str">
        <f t="shared" ref="K647:K710" si="45">IF(G647&lt;7.9, "Don't Watch", IF(G647&gt;8, "Must Watch", "Maybe"))</f>
        <v>Don't Watch</v>
      </c>
      <c r="L647" s="3" t="str">
        <f t="shared" si="42"/>
        <v>Don't Watch</v>
      </c>
      <c r="M647" s="3"/>
      <c r="N647" s="3" t="str">
        <f t="shared" si="43"/>
        <v>Maybe</v>
      </c>
      <c r="O647" t="s">
        <v>1838</v>
      </c>
      <c r="P647" t="b">
        <f t="shared" si="44"/>
        <v>0</v>
      </c>
    </row>
    <row r="648" spans="1:16" x14ac:dyDescent="0.25">
      <c r="A648">
        <v>647</v>
      </c>
      <c r="B648" t="s">
        <v>1839</v>
      </c>
      <c r="C648">
        <v>-2006</v>
      </c>
      <c r="D648" t="s">
        <v>1166</v>
      </c>
      <c r="E648" t="s">
        <v>232</v>
      </c>
      <c r="F648" t="s">
        <v>1189</v>
      </c>
      <c r="G648">
        <v>7.8</v>
      </c>
      <c r="H648">
        <v>64</v>
      </c>
      <c r="I648" t="s">
        <v>1840</v>
      </c>
      <c r="J648" s="3">
        <v>111777</v>
      </c>
      <c r="K648" s="3" t="str">
        <f t="shared" si="45"/>
        <v>Don't Watch</v>
      </c>
      <c r="L648" s="3" t="str">
        <f t="shared" si="42"/>
        <v>Don't Watch</v>
      </c>
      <c r="M648" s="3"/>
      <c r="N648" s="3" t="str">
        <f t="shared" si="43"/>
        <v>Maybe</v>
      </c>
      <c r="O648" t="s">
        <v>1841</v>
      </c>
      <c r="P648" t="b">
        <f t="shared" si="44"/>
        <v>0</v>
      </c>
    </row>
    <row r="649" spans="1:16" x14ac:dyDescent="0.25">
      <c r="A649">
        <v>648</v>
      </c>
      <c r="B649" t="s">
        <v>1842</v>
      </c>
      <c r="C649">
        <v>-2006</v>
      </c>
      <c r="D649">
        <v>15</v>
      </c>
      <c r="E649" t="s">
        <v>321</v>
      </c>
      <c r="F649" t="s">
        <v>304</v>
      </c>
      <c r="G649">
        <v>7.8</v>
      </c>
      <c r="H649">
        <v>80</v>
      </c>
      <c r="I649" t="s">
        <v>1843</v>
      </c>
      <c r="J649" s="3">
        <v>472682</v>
      </c>
      <c r="K649" s="3" t="str">
        <f t="shared" si="45"/>
        <v>Don't Watch</v>
      </c>
      <c r="L649" s="3" t="str">
        <f t="shared" si="42"/>
        <v>Don't Watch</v>
      </c>
      <c r="M649" s="3"/>
      <c r="N649" s="3" t="str">
        <f t="shared" si="43"/>
        <v>Maybe</v>
      </c>
      <c r="O649" t="s">
        <v>1844</v>
      </c>
      <c r="P649" t="b">
        <f t="shared" si="44"/>
        <v>0</v>
      </c>
    </row>
    <row r="650" spans="1:16" x14ac:dyDescent="0.25">
      <c r="A650">
        <v>649</v>
      </c>
      <c r="B650" t="s">
        <v>1845</v>
      </c>
      <c r="C650">
        <v>-2007</v>
      </c>
      <c r="D650">
        <v>15</v>
      </c>
      <c r="E650" t="s">
        <v>148</v>
      </c>
      <c r="F650" t="s">
        <v>1846</v>
      </c>
      <c r="G650">
        <v>7.8</v>
      </c>
      <c r="H650">
        <v>81</v>
      </c>
      <c r="I650" t="s">
        <v>1501</v>
      </c>
      <c r="J650" s="3">
        <v>498316</v>
      </c>
      <c r="K650" s="3" t="str">
        <f t="shared" si="45"/>
        <v>Don't Watch</v>
      </c>
      <c r="L650" s="3" t="str">
        <f t="shared" si="42"/>
        <v>Don't Watch</v>
      </c>
      <c r="M650" s="3"/>
      <c r="N650" s="3" t="str">
        <f t="shared" si="43"/>
        <v>Maybe</v>
      </c>
      <c r="O650" t="s">
        <v>1847</v>
      </c>
      <c r="P650" t="b">
        <f t="shared" si="44"/>
        <v>0</v>
      </c>
    </row>
    <row r="651" spans="1:16" x14ac:dyDescent="0.25">
      <c r="A651">
        <v>650</v>
      </c>
      <c r="B651" t="s">
        <v>1848</v>
      </c>
      <c r="C651">
        <v>-2008</v>
      </c>
      <c r="D651" t="s">
        <v>30</v>
      </c>
      <c r="E651" t="s">
        <v>1849</v>
      </c>
      <c r="F651" t="s">
        <v>1267</v>
      </c>
      <c r="G651">
        <v>7.8</v>
      </c>
      <c r="H651">
        <v>70</v>
      </c>
      <c r="I651" t="s">
        <v>71</v>
      </c>
      <c r="J651" s="3">
        <v>638726</v>
      </c>
      <c r="K651" s="3" t="str">
        <f t="shared" si="45"/>
        <v>Don't Watch</v>
      </c>
      <c r="L651" s="3" t="str">
        <f t="shared" si="42"/>
        <v>Don't Watch</v>
      </c>
      <c r="M651" s="3"/>
      <c r="N651" s="3" t="str">
        <f t="shared" si="43"/>
        <v>Maybe</v>
      </c>
      <c r="O651" t="s">
        <v>1850</v>
      </c>
      <c r="P651" t="b">
        <f t="shared" si="44"/>
        <v>0</v>
      </c>
    </row>
    <row r="652" spans="1:16" x14ac:dyDescent="0.25">
      <c r="A652">
        <v>651</v>
      </c>
      <c r="B652" t="s">
        <v>1851</v>
      </c>
      <c r="C652">
        <v>-2004</v>
      </c>
      <c r="D652" t="s">
        <v>49</v>
      </c>
      <c r="E652" t="s">
        <v>1852</v>
      </c>
      <c r="F652" t="s">
        <v>1314</v>
      </c>
      <c r="G652">
        <v>7.8</v>
      </c>
      <c r="H652">
        <v>67</v>
      </c>
      <c r="I652" t="s">
        <v>1853</v>
      </c>
      <c r="J652" s="3">
        <v>52473</v>
      </c>
      <c r="K652" s="3" t="str">
        <f t="shared" si="45"/>
        <v>Don't Watch</v>
      </c>
      <c r="L652" s="3" t="str">
        <f t="shared" si="42"/>
        <v>Don't Watch</v>
      </c>
      <c r="M652" s="3"/>
      <c r="N652" s="3" t="str">
        <f t="shared" si="43"/>
        <v>Maybe</v>
      </c>
      <c r="O652" t="s">
        <v>1854</v>
      </c>
      <c r="P652" t="b">
        <f t="shared" si="44"/>
        <v>0</v>
      </c>
    </row>
    <row r="653" spans="1:16" x14ac:dyDescent="0.25">
      <c r="A653">
        <v>652</v>
      </c>
      <c r="B653" t="s">
        <v>1855</v>
      </c>
      <c r="C653">
        <v>-2005</v>
      </c>
      <c r="D653" t="s">
        <v>49</v>
      </c>
      <c r="E653" t="s">
        <v>452</v>
      </c>
      <c r="F653" t="s">
        <v>78</v>
      </c>
      <c r="G653">
        <v>7.8</v>
      </c>
      <c r="H653">
        <v>82</v>
      </c>
      <c r="I653" t="s">
        <v>1826</v>
      </c>
      <c r="J653" s="3">
        <v>289578</v>
      </c>
      <c r="K653" s="3" t="str">
        <f t="shared" si="45"/>
        <v>Don't Watch</v>
      </c>
      <c r="L653" s="3" t="str">
        <f t="shared" si="42"/>
        <v>Don't Watch</v>
      </c>
      <c r="M653" s="3"/>
      <c r="N653" s="3" t="str">
        <f t="shared" si="43"/>
        <v>Maybe</v>
      </c>
      <c r="O653" t="s">
        <v>1856</v>
      </c>
      <c r="P653" t="b">
        <f t="shared" si="44"/>
        <v>0</v>
      </c>
    </row>
    <row r="654" spans="1:16" x14ac:dyDescent="0.25">
      <c r="A654">
        <v>653</v>
      </c>
      <c r="B654" t="s">
        <v>1857</v>
      </c>
      <c r="C654">
        <v>-2005</v>
      </c>
      <c r="D654" t="s">
        <v>30</v>
      </c>
      <c r="E654" t="s">
        <v>136</v>
      </c>
      <c r="F654" t="s">
        <v>542</v>
      </c>
      <c r="G654">
        <v>7.8</v>
      </c>
      <c r="H654">
        <v>68</v>
      </c>
      <c r="I654" t="s">
        <v>1858</v>
      </c>
      <c r="J654" s="3">
        <v>54781</v>
      </c>
      <c r="K654" s="3" t="str">
        <f t="shared" si="45"/>
        <v>Don't Watch</v>
      </c>
      <c r="L654" s="3" t="str">
        <f t="shared" si="42"/>
        <v>Don't Watch</v>
      </c>
      <c r="M654" s="3"/>
      <c r="N654" s="3" t="str">
        <f t="shared" si="43"/>
        <v>Maybe</v>
      </c>
      <c r="O654" t="s">
        <v>1859</v>
      </c>
      <c r="P654" t="b">
        <f t="shared" si="44"/>
        <v>0</v>
      </c>
    </row>
    <row r="655" spans="1:16" x14ac:dyDescent="0.25">
      <c r="A655">
        <v>654</v>
      </c>
      <c r="B655" t="s">
        <v>1860</v>
      </c>
      <c r="C655">
        <v>-2003</v>
      </c>
      <c r="D655">
        <v>12</v>
      </c>
      <c r="E655" t="s">
        <v>213</v>
      </c>
      <c r="F655" t="s">
        <v>292</v>
      </c>
      <c r="G655">
        <v>7.8</v>
      </c>
      <c r="H655">
        <v>73</v>
      </c>
      <c r="I655" t="s">
        <v>1212</v>
      </c>
      <c r="J655" s="3">
        <v>39313</v>
      </c>
      <c r="K655" s="3" t="str">
        <f t="shared" si="45"/>
        <v>Don't Watch</v>
      </c>
      <c r="L655" s="3" t="str">
        <f t="shared" si="42"/>
        <v>Don't Watch</v>
      </c>
      <c r="M655" s="3"/>
      <c r="N655" s="3" t="str">
        <f t="shared" si="43"/>
        <v>Maybe</v>
      </c>
      <c r="O655" t="s">
        <v>1782</v>
      </c>
      <c r="P655" t="b">
        <f t="shared" si="44"/>
        <v>0</v>
      </c>
    </row>
    <row r="656" spans="1:16" x14ac:dyDescent="0.25">
      <c r="A656">
        <v>655</v>
      </c>
      <c r="B656" t="s">
        <v>1861</v>
      </c>
      <c r="C656">
        <v>-2005</v>
      </c>
      <c r="D656">
        <v>15</v>
      </c>
      <c r="E656" t="s">
        <v>202</v>
      </c>
      <c r="F656" t="s">
        <v>64</v>
      </c>
      <c r="G656">
        <v>7.8</v>
      </c>
      <c r="H656">
        <v>74</v>
      </c>
      <c r="I656" t="s">
        <v>1138</v>
      </c>
      <c r="J656" s="3">
        <v>294496</v>
      </c>
      <c r="K656" s="3" t="str">
        <f t="shared" si="45"/>
        <v>Don't Watch</v>
      </c>
      <c r="L656" s="3" t="str">
        <f t="shared" si="42"/>
        <v>Don't Watch</v>
      </c>
      <c r="M656" s="3"/>
      <c r="N656" s="3" t="str">
        <f t="shared" si="43"/>
        <v>Maybe</v>
      </c>
      <c r="O656" t="s">
        <v>1862</v>
      </c>
      <c r="P656" t="b">
        <f t="shared" si="44"/>
        <v>0</v>
      </c>
    </row>
    <row r="657" spans="1:16" x14ac:dyDescent="0.25">
      <c r="A657">
        <v>656</v>
      </c>
      <c r="B657" t="s">
        <v>1863</v>
      </c>
      <c r="C657" t="s">
        <v>1180</v>
      </c>
      <c r="D657">
        <v>15</v>
      </c>
      <c r="E657" t="s">
        <v>176</v>
      </c>
      <c r="F657" t="s">
        <v>144</v>
      </c>
      <c r="G657">
        <v>7.8</v>
      </c>
      <c r="H657">
        <v>66</v>
      </c>
      <c r="I657" t="s">
        <v>1864</v>
      </c>
      <c r="J657" s="3">
        <v>434282</v>
      </c>
      <c r="K657" s="3" t="str">
        <f t="shared" si="45"/>
        <v>Don't Watch</v>
      </c>
      <c r="L657" s="3" t="str">
        <f t="shared" si="42"/>
        <v>Don't Watch</v>
      </c>
      <c r="M657" s="3"/>
      <c r="N657" s="3" t="str">
        <f t="shared" si="43"/>
        <v>Maybe</v>
      </c>
      <c r="O657" t="s">
        <v>1865</v>
      </c>
      <c r="P657" t="b">
        <f t="shared" si="44"/>
        <v>0</v>
      </c>
    </row>
    <row r="658" spans="1:16" x14ac:dyDescent="0.25">
      <c r="A658">
        <v>657</v>
      </c>
      <c r="B658" t="s">
        <v>1866</v>
      </c>
      <c r="C658">
        <v>-2004</v>
      </c>
      <c r="D658" t="s">
        <v>30</v>
      </c>
      <c r="E658" t="s">
        <v>576</v>
      </c>
      <c r="F658" t="s">
        <v>1066</v>
      </c>
      <c r="G658">
        <v>7.8</v>
      </c>
      <c r="H658">
        <v>56</v>
      </c>
      <c r="I658" t="s">
        <v>1867</v>
      </c>
      <c r="J658" s="3">
        <v>61721</v>
      </c>
      <c r="K658" s="3" t="str">
        <f t="shared" si="45"/>
        <v>Don't Watch</v>
      </c>
      <c r="L658" s="3" t="str">
        <f t="shared" si="42"/>
        <v>Don't Watch</v>
      </c>
      <c r="M658" s="3"/>
      <c r="N658" s="3" t="str">
        <f t="shared" si="43"/>
        <v>Maybe</v>
      </c>
      <c r="O658" t="s">
        <v>424</v>
      </c>
      <c r="P658" t="b">
        <f t="shared" si="44"/>
        <v>0</v>
      </c>
    </row>
    <row r="659" spans="1:16" x14ac:dyDescent="0.25">
      <c r="A659">
        <v>658</v>
      </c>
      <c r="B659" t="s">
        <v>1868</v>
      </c>
      <c r="C659">
        <v>-2005</v>
      </c>
      <c r="D659" t="s">
        <v>30</v>
      </c>
      <c r="E659" t="s">
        <v>89</v>
      </c>
      <c r="F659" t="s">
        <v>194</v>
      </c>
      <c r="G659">
        <v>7.8</v>
      </c>
      <c r="H659">
        <v>72</v>
      </c>
      <c r="I659" t="s">
        <v>753</v>
      </c>
      <c r="J659" s="3">
        <v>248574</v>
      </c>
      <c r="K659" s="3" t="str">
        <f t="shared" si="45"/>
        <v>Don't Watch</v>
      </c>
      <c r="L659" s="3" t="str">
        <f t="shared" si="42"/>
        <v>Don't Watch</v>
      </c>
      <c r="M659" s="3"/>
      <c r="N659" s="3" t="str">
        <f t="shared" si="43"/>
        <v>Maybe</v>
      </c>
      <c r="O659" t="s">
        <v>1869</v>
      </c>
      <c r="P659" t="b">
        <f t="shared" si="44"/>
        <v>0</v>
      </c>
    </row>
    <row r="660" spans="1:16" x14ac:dyDescent="0.25">
      <c r="A660">
        <v>659</v>
      </c>
      <c r="B660" t="s">
        <v>1870</v>
      </c>
      <c r="C660">
        <v>-2004</v>
      </c>
      <c r="D660" t="s">
        <v>30</v>
      </c>
      <c r="E660" t="s">
        <v>384</v>
      </c>
      <c r="F660" t="s">
        <v>78</v>
      </c>
      <c r="G660">
        <v>7.8</v>
      </c>
      <c r="H660">
        <v>53</v>
      </c>
      <c r="I660" t="s">
        <v>1871</v>
      </c>
      <c r="J660" s="3">
        <v>561135</v>
      </c>
      <c r="K660" s="3" t="str">
        <f t="shared" si="45"/>
        <v>Don't Watch</v>
      </c>
      <c r="L660" s="3" t="str">
        <f t="shared" si="42"/>
        <v>Don't Watch</v>
      </c>
      <c r="M660" s="3"/>
      <c r="N660" s="3" t="str">
        <f t="shared" si="43"/>
        <v>Maybe</v>
      </c>
      <c r="O660" t="s">
        <v>1872</v>
      </c>
      <c r="P660" t="b">
        <f t="shared" si="44"/>
        <v>0</v>
      </c>
    </row>
    <row r="661" spans="1:16" x14ac:dyDescent="0.25">
      <c r="A661">
        <v>660</v>
      </c>
      <c r="B661" t="s">
        <v>1873</v>
      </c>
      <c r="C661">
        <v>-2003</v>
      </c>
      <c r="D661">
        <v>15</v>
      </c>
      <c r="E661" t="s">
        <v>59</v>
      </c>
      <c r="F661" t="s">
        <v>109</v>
      </c>
      <c r="G661">
        <v>7.8</v>
      </c>
      <c r="H661">
        <v>55</v>
      </c>
      <c r="I661" t="s">
        <v>1150</v>
      </c>
      <c r="J661" s="3">
        <v>433298</v>
      </c>
      <c r="K661" s="3" t="str">
        <f t="shared" si="45"/>
        <v>Don't Watch</v>
      </c>
      <c r="L661" s="3" t="str">
        <f t="shared" si="42"/>
        <v>Don't Watch</v>
      </c>
      <c r="M661" s="3"/>
      <c r="N661" s="3" t="str">
        <f t="shared" si="43"/>
        <v>Maybe</v>
      </c>
      <c r="O661" t="s">
        <v>1874</v>
      </c>
      <c r="P661" t="b">
        <f t="shared" si="44"/>
        <v>0</v>
      </c>
    </row>
    <row r="662" spans="1:16" x14ac:dyDescent="0.25">
      <c r="A662">
        <v>661</v>
      </c>
      <c r="B662" t="s">
        <v>1875</v>
      </c>
      <c r="C662">
        <v>-2004</v>
      </c>
      <c r="D662">
        <v>15</v>
      </c>
      <c r="E662" t="s">
        <v>263</v>
      </c>
      <c r="F662" t="s">
        <v>466</v>
      </c>
      <c r="G662">
        <v>7.8</v>
      </c>
      <c r="H662">
        <v>75</v>
      </c>
      <c r="I662" t="s">
        <v>1215</v>
      </c>
      <c r="J662" s="3">
        <v>100867</v>
      </c>
      <c r="K662" s="3" t="str">
        <f t="shared" si="45"/>
        <v>Don't Watch</v>
      </c>
      <c r="L662" s="3" t="str">
        <f t="shared" si="42"/>
        <v>Don't Watch</v>
      </c>
      <c r="M662" s="3"/>
      <c r="N662" s="3" t="str">
        <f t="shared" si="43"/>
        <v>Maybe</v>
      </c>
      <c r="O662" t="s">
        <v>1876</v>
      </c>
      <c r="P662" t="b">
        <f t="shared" si="44"/>
        <v>0</v>
      </c>
    </row>
    <row r="663" spans="1:16" x14ac:dyDescent="0.25">
      <c r="A663">
        <v>662</v>
      </c>
      <c r="B663" t="s">
        <v>1877</v>
      </c>
      <c r="C663">
        <v>-2002</v>
      </c>
      <c r="D663">
        <v>18</v>
      </c>
      <c r="E663" t="s">
        <v>241</v>
      </c>
      <c r="F663" t="s">
        <v>26</v>
      </c>
      <c r="G663">
        <v>7.8</v>
      </c>
      <c r="H663">
        <v>82</v>
      </c>
      <c r="I663" t="s">
        <v>1878</v>
      </c>
      <c r="J663" s="3">
        <v>45463</v>
      </c>
      <c r="K663" s="3" t="str">
        <f t="shared" si="45"/>
        <v>Don't Watch</v>
      </c>
      <c r="L663" s="3" t="str">
        <f t="shared" si="42"/>
        <v>Don't Watch</v>
      </c>
      <c r="M663" s="3"/>
      <c r="N663" s="3" t="str">
        <f t="shared" si="43"/>
        <v>Maybe</v>
      </c>
      <c r="O663" t="s">
        <v>1299</v>
      </c>
      <c r="P663" t="b">
        <f t="shared" si="44"/>
        <v>0</v>
      </c>
    </row>
    <row r="664" spans="1:16" x14ac:dyDescent="0.25">
      <c r="A664">
        <v>663</v>
      </c>
      <c r="B664" t="s">
        <v>1879</v>
      </c>
      <c r="C664">
        <v>-2001</v>
      </c>
      <c r="D664" t="s">
        <v>74</v>
      </c>
      <c r="E664" t="s">
        <v>254</v>
      </c>
      <c r="F664" t="s">
        <v>275</v>
      </c>
      <c r="G664">
        <v>7.8</v>
      </c>
      <c r="H664">
        <v>70</v>
      </c>
      <c r="I664" t="s">
        <v>1212</v>
      </c>
      <c r="J664" s="3">
        <v>27603</v>
      </c>
      <c r="K664" s="3" t="str">
        <f t="shared" si="45"/>
        <v>Don't Watch</v>
      </c>
      <c r="L664" s="3" t="str">
        <f t="shared" si="42"/>
        <v>Don't Watch</v>
      </c>
      <c r="M664" s="3"/>
      <c r="N664" s="3" t="str">
        <f t="shared" si="43"/>
        <v>Maybe</v>
      </c>
      <c r="O664" t="s">
        <v>1880</v>
      </c>
      <c r="P664" t="b">
        <f t="shared" si="44"/>
        <v>0</v>
      </c>
    </row>
    <row r="665" spans="1:16" x14ac:dyDescent="0.25">
      <c r="A665">
        <v>664</v>
      </c>
      <c r="B665" t="s">
        <v>1881</v>
      </c>
      <c r="C665">
        <v>-2001</v>
      </c>
      <c r="D665" t="s">
        <v>30</v>
      </c>
      <c r="E665" t="s">
        <v>342</v>
      </c>
      <c r="F665" t="s">
        <v>1556</v>
      </c>
      <c r="G665">
        <v>7.8</v>
      </c>
      <c r="H665">
        <v>61</v>
      </c>
      <c r="I665" t="s">
        <v>1882</v>
      </c>
      <c r="J665" s="3">
        <v>48271</v>
      </c>
      <c r="K665" s="3" t="str">
        <f t="shared" si="45"/>
        <v>Don't Watch</v>
      </c>
      <c r="L665" s="3" t="str">
        <f t="shared" si="42"/>
        <v>Don't Watch</v>
      </c>
      <c r="M665" s="3"/>
      <c r="N665" s="3" t="str">
        <f t="shared" si="43"/>
        <v>Maybe</v>
      </c>
      <c r="O665" t="s">
        <v>1883</v>
      </c>
      <c r="P665" t="b">
        <f t="shared" si="44"/>
        <v>0</v>
      </c>
    </row>
    <row r="666" spans="1:16" x14ac:dyDescent="0.25">
      <c r="A666">
        <v>665</v>
      </c>
      <c r="B666" t="s">
        <v>1884</v>
      </c>
      <c r="C666">
        <v>-2000</v>
      </c>
      <c r="D666">
        <v>15</v>
      </c>
      <c r="E666" t="s">
        <v>209</v>
      </c>
      <c r="F666" t="s">
        <v>676</v>
      </c>
      <c r="G666">
        <v>7.8</v>
      </c>
      <c r="H666">
        <v>58</v>
      </c>
      <c r="I666" t="s">
        <v>322</v>
      </c>
      <c r="J666" s="3">
        <v>29870</v>
      </c>
      <c r="K666" s="3" t="str">
        <f t="shared" si="45"/>
        <v>Don't Watch</v>
      </c>
      <c r="L666" s="3" t="str">
        <f t="shared" si="42"/>
        <v>Don't Watch</v>
      </c>
      <c r="M666" s="3"/>
      <c r="N666" s="3" t="str">
        <f t="shared" si="43"/>
        <v>Maybe</v>
      </c>
      <c r="P666" t="b">
        <f t="shared" si="44"/>
        <v>0</v>
      </c>
    </row>
    <row r="667" spans="1:16" x14ac:dyDescent="0.25">
      <c r="A667">
        <v>666</v>
      </c>
      <c r="B667" t="s">
        <v>1885</v>
      </c>
      <c r="C667">
        <v>-2000</v>
      </c>
      <c r="D667" t="s">
        <v>74</v>
      </c>
      <c r="E667" t="s">
        <v>325</v>
      </c>
      <c r="F667" t="s">
        <v>542</v>
      </c>
      <c r="G667">
        <v>7.8</v>
      </c>
      <c r="H667">
        <v>48</v>
      </c>
      <c r="I667" t="s">
        <v>1886</v>
      </c>
      <c r="J667" s="3">
        <v>212665</v>
      </c>
      <c r="K667" s="3" t="str">
        <f t="shared" si="45"/>
        <v>Don't Watch</v>
      </c>
      <c r="L667" s="3" t="str">
        <f t="shared" si="42"/>
        <v>Don't Watch</v>
      </c>
      <c r="M667" s="3"/>
      <c r="N667" s="3" t="str">
        <f t="shared" si="43"/>
        <v>Maybe</v>
      </c>
      <c r="O667" t="s">
        <v>1460</v>
      </c>
      <c r="P667" t="b">
        <f t="shared" si="44"/>
        <v>0</v>
      </c>
    </row>
    <row r="668" spans="1:16" x14ac:dyDescent="0.25">
      <c r="A668">
        <v>667</v>
      </c>
      <c r="B668" t="s">
        <v>1887</v>
      </c>
      <c r="C668">
        <v>-1999</v>
      </c>
      <c r="D668">
        <v>15</v>
      </c>
      <c r="E668" t="s">
        <v>321</v>
      </c>
      <c r="F668" t="s">
        <v>20</v>
      </c>
      <c r="G668">
        <v>7.8</v>
      </c>
      <c r="H668">
        <v>87</v>
      </c>
      <c r="I668" t="s">
        <v>1516</v>
      </c>
      <c r="J668" s="3">
        <v>95993</v>
      </c>
      <c r="K668" s="3" t="str">
        <f t="shared" si="45"/>
        <v>Don't Watch</v>
      </c>
      <c r="L668" s="3" t="str">
        <f t="shared" si="42"/>
        <v>Don't Watch</v>
      </c>
      <c r="M668" s="3"/>
      <c r="N668" s="3" t="str">
        <f t="shared" si="43"/>
        <v>Maybe</v>
      </c>
      <c r="O668" t="s">
        <v>1888</v>
      </c>
      <c r="P668" t="b">
        <f t="shared" si="44"/>
        <v>0</v>
      </c>
    </row>
    <row r="669" spans="1:16" x14ac:dyDescent="0.25">
      <c r="A669">
        <v>668</v>
      </c>
      <c r="B669" t="s">
        <v>1889</v>
      </c>
      <c r="C669">
        <v>-2000</v>
      </c>
      <c r="D669">
        <v>12</v>
      </c>
      <c r="E669" t="s">
        <v>354</v>
      </c>
      <c r="F669" t="s">
        <v>1890</v>
      </c>
      <c r="G669">
        <v>7.8</v>
      </c>
      <c r="H669">
        <v>73</v>
      </c>
      <c r="I669" t="s">
        <v>79</v>
      </c>
      <c r="J669" s="3">
        <v>579491</v>
      </c>
      <c r="K669" s="3" t="str">
        <f t="shared" si="45"/>
        <v>Don't Watch</v>
      </c>
      <c r="L669" s="3" t="str">
        <f t="shared" si="42"/>
        <v>Don't Watch</v>
      </c>
      <c r="M669" s="3"/>
      <c r="N669" s="3" t="str">
        <f t="shared" si="43"/>
        <v>Maybe</v>
      </c>
      <c r="O669" t="s">
        <v>1891</v>
      </c>
      <c r="P669" t="b">
        <f t="shared" si="44"/>
        <v>0</v>
      </c>
    </row>
    <row r="670" spans="1:16" x14ac:dyDescent="0.25">
      <c r="A670">
        <v>669</v>
      </c>
      <c r="B670" t="s">
        <v>1892</v>
      </c>
      <c r="C670">
        <v>-1999</v>
      </c>
      <c r="D670">
        <v>15</v>
      </c>
      <c r="E670" t="s">
        <v>1772</v>
      </c>
      <c r="F670" t="s">
        <v>1093</v>
      </c>
      <c r="G670">
        <v>7.8</v>
      </c>
      <c r="H670">
        <v>84</v>
      </c>
      <c r="I670" t="s">
        <v>433</v>
      </c>
      <c r="J670" s="3">
        <v>170013</v>
      </c>
      <c r="K670" s="3" t="str">
        <f t="shared" si="45"/>
        <v>Don't Watch</v>
      </c>
      <c r="L670" s="3" t="str">
        <f t="shared" si="42"/>
        <v>Don't Watch</v>
      </c>
      <c r="M670" s="3"/>
      <c r="N670" s="3" t="str">
        <f t="shared" si="43"/>
        <v>Maybe</v>
      </c>
      <c r="O670" t="s">
        <v>1893</v>
      </c>
      <c r="P670" t="b">
        <f t="shared" si="44"/>
        <v>0</v>
      </c>
    </row>
    <row r="671" spans="1:16" x14ac:dyDescent="0.25">
      <c r="A671">
        <v>670</v>
      </c>
      <c r="B671" t="s">
        <v>1894</v>
      </c>
      <c r="C671">
        <v>-1999</v>
      </c>
      <c r="D671" t="s">
        <v>74</v>
      </c>
      <c r="E671" t="s">
        <v>409</v>
      </c>
      <c r="F671" t="s">
        <v>824</v>
      </c>
      <c r="G671">
        <v>7.8</v>
      </c>
      <c r="H671">
        <v>71</v>
      </c>
      <c r="I671" t="s">
        <v>1895</v>
      </c>
      <c r="J671" s="3">
        <v>89978</v>
      </c>
      <c r="K671" s="3" t="str">
        <f t="shared" si="45"/>
        <v>Don't Watch</v>
      </c>
      <c r="L671" s="3" t="str">
        <f t="shared" si="42"/>
        <v>Don't Watch</v>
      </c>
      <c r="M671" s="3"/>
      <c r="N671" s="3" t="str">
        <f t="shared" si="43"/>
        <v>Maybe</v>
      </c>
      <c r="O671" t="s">
        <v>1896</v>
      </c>
      <c r="P671" t="b">
        <f t="shared" si="44"/>
        <v>0</v>
      </c>
    </row>
    <row r="672" spans="1:16" x14ac:dyDescent="0.25">
      <c r="A672">
        <v>671</v>
      </c>
      <c r="B672" t="s">
        <v>1897</v>
      </c>
      <c r="C672">
        <v>-1999</v>
      </c>
      <c r="D672">
        <v>15</v>
      </c>
      <c r="E672" t="s">
        <v>325</v>
      </c>
      <c r="F672" t="s">
        <v>769</v>
      </c>
      <c r="G672">
        <v>7.8</v>
      </c>
      <c r="H672">
        <v>90</v>
      </c>
      <c r="I672" t="s">
        <v>1104</v>
      </c>
      <c r="J672" s="3">
        <v>331671</v>
      </c>
      <c r="K672" s="3" t="str">
        <f t="shared" si="45"/>
        <v>Don't Watch</v>
      </c>
      <c r="L672" s="3" t="str">
        <f t="shared" si="42"/>
        <v>Don't Watch</v>
      </c>
      <c r="M672" s="3"/>
      <c r="N672" s="3" t="str">
        <f t="shared" si="43"/>
        <v>Maybe</v>
      </c>
      <c r="O672" t="s">
        <v>1898</v>
      </c>
      <c r="P672" t="b">
        <f t="shared" si="44"/>
        <v>0</v>
      </c>
    </row>
    <row r="673" spans="1:16" x14ac:dyDescent="0.25">
      <c r="A673">
        <v>672</v>
      </c>
      <c r="B673" t="s">
        <v>1899</v>
      </c>
      <c r="C673">
        <v>-1997</v>
      </c>
      <c r="D673">
        <v>15</v>
      </c>
      <c r="E673" t="s">
        <v>171</v>
      </c>
      <c r="F673" t="s">
        <v>1900</v>
      </c>
      <c r="G673">
        <v>7.8</v>
      </c>
      <c r="H673">
        <v>64</v>
      </c>
      <c r="I673" t="s">
        <v>1901</v>
      </c>
      <c r="J673" s="3">
        <v>300242</v>
      </c>
      <c r="K673" s="3" t="str">
        <f t="shared" si="45"/>
        <v>Don't Watch</v>
      </c>
      <c r="L673" s="3" t="str">
        <f t="shared" si="42"/>
        <v>Don't Watch</v>
      </c>
      <c r="M673" s="3"/>
      <c r="N673" s="3" t="str">
        <f t="shared" si="43"/>
        <v>Maybe</v>
      </c>
      <c r="O673" t="s">
        <v>1902</v>
      </c>
      <c r="P673" t="b">
        <f t="shared" si="44"/>
        <v>0</v>
      </c>
    </row>
    <row r="674" spans="1:16" x14ac:dyDescent="0.25">
      <c r="A674">
        <v>673</v>
      </c>
      <c r="B674" t="s">
        <v>1903</v>
      </c>
      <c r="C674">
        <v>-1996</v>
      </c>
      <c r="D674" t="s">
        <v>74</v>
      </c>
      <c r="E674" t="s">
        <v>1120</v>
      </c>
      <c r="F674" t="s">
        <v>20</v>
      </c>
      <c r="G674">
        <v>7.8</v>
      </c>
      <c r="I674" t="s">
        <v>1904</v>
      </c>
      <c r="J674" s="3">
        <v>38061</v>
      </c>
      <c r="K674" s="3" t="str">
        <f t="shared" si="45"/>
        <v>Don't Watch</v>
      </c>
      <c r="L674" s="3" t="str">
        <f t="shared" si="42"/>
        <v>Don't Watch</v>
      </c>
      <c r="M674" s="3"/>
      <c r="N674" s="3" t="str">
        <f t="shared" si="43"/>
        <v>Maybe</v>
      </c>
      <c r="O674" t="s">
        <v>1905</v>
      </c>
      <c r="P674" t="b">
        <f t="shared" si="44"/>
        <v>0</v>
      </c>
    </row>
    <row r="675" spans="1:16" x14ac:dyDescent="0.25">
      <c r="A675">
        <v>674</v>
      </c>
      <c r="B675" t="s">
        <v>1906</v>
      </c>
      <c r="C675">
        <v>-1996</v>
      </c>
      <c r="D675">
        <v>18</v>
      </c>
      <c r="E675" t="s">
        <v>1086</v>
      </c>
      <c r="F675" t="s">
        <v>20</v>
      </c>
      <c r="G675">
        <v>7.8</v>
      </c>
      <c r="H675">
        <v>76</v>
      </c>
      <c r="I675" t="s">
        <v>1197</v>
      </c>
      <c r="J675" s="3">
        <v>66524</v>
      </c>
      <c r="K675" s="3" t="str">
        <f t="shared" si="45"/>
        <v>Don't Watch</v>
      </c>
      <c r="L675" s="3" t="str">
        <f t="shared" si="42"/>
        <v>Don't Watch</v>
      </c>
      <c r="M675" s="3"/>
      <c r="N675" s="3" t="str">
        <f t="shared" si="43"/>
        <v>Maybe</v>
      </c>
      <c r="O675" t="s">
        <v>912</v>
      </c>
      <c r="P675" t="b">
        <f t="shared" si="44"/>
        <v>0</v>
      </c>
    </row>
    <row r="676" spans="1:16" x14ac:dyDescent="0.25">
      <c r="A676">
        <v>675</v>
      </c>
      <c r="B676" t="s">
        <v>1907</v>
      </c>
      <c r="C676">
        <v>-1994</v>
      </c>
      <c r="D676">
        <v>15</v>
      </c>
      <c r="E676" t="s">
        <v>136</v>
      </c>
      <c r="F676" t="s">
        <v>177</v>
      </c>
      <c r="G676">
        <v>7.8</v>
      </c>
      <c r="H676">
        <v>70</v>
      </c>
      <c r="I676" t="s">
        <v>1190</v>
      </c>
      <c r="J676" s="3">
        <v>175049</v>
      </c>
      <c r="K676" s="3" t="str">
        <f t="shared" si="45"/>
        <v>Don't Watch</v>
      </c>
      <c r="L676" s="3" t="str">
        <f t="shared" si="42"/>
        <v>Don't Watch</v>
      </c>
      <c r="M676" s="3"/>
      <c r="N676" s="3" t="str">
        <f t="shared" si="43"/>
        <v>Maybe</v>
      </c>
      <c r="O676" t="s">
        <v>1908</v>
      </c>
      <c r="P676" t="b">
        <f t="shared" si="44"/>
        <v>0</v>
      </c>
    </row>
    <row r="677" spans="1:16" x14ac:dyDescent="0.25">
      <c r="A677">
        <v>676</v>
      </c>
      <c r="B677" t="s">
        <v>1909</v>
      </c>
      <c r="C677">
        <v>-1993</v>
      </c>
      <c r="D677">
        <v>15</v>
      </c>
      <c r="E677" t="s">
        <v>108</v>
      </c>
      <c r="F677" t="s">
        <v>42</v>
      </c>
      <c r="G677">
        <v>7.8</v>
      </c>
      <c r="H677">
        <v>50</v>
      </c>
      <c r="I677" t="s">
        <v>1910</v>
      </c>
      <c r="J677" s="3">
        <v>145847</v>
      </c>
      <c r="K677" s="3" t="str">
        <f t="shared" si="45"/>
        <v>Don't Watch</v>
      </c>
      <c r="L677" s="3" t="str">
        <f t="shared" si="42"/>
        <v>Don't Watch</v>
      </c>
      <c r="M677" s="3"/>
      <c r="N677" s="3" t="str">
        <f t="shared" si="43"/>
        <v>Maybe</v>
      </c>
      <c r="O677" t="s">
        <v>1911</v>
      </c>
      <c r="P677" t="b">
        <f t="shared" si="44"/>
        <v>0</v>
      </c>
    </row>
    <row r="678" spans="1:16" x14ac:dyDescent="0.25">
      <c r="A678">
        <v>677</v>
      </c>
      <c r="B678" t="s">
        <v>1912</v>
      </c>
      <c r="C678">
        <v>-1993</v>
      </c>
      <c r="D678" t="s">
        <v>74</v>
      </c>
      <c r="E678" t="s">
        <v>321</v>
      </c>
      <c r="F678" t="s">
        <v>508</v>
      </c>
      <c r="G678">
        <v>7.8</v>
      </c>
      <c r="H678">
        <v>55</v>
      </c>
      <c r="I678" t="s">
        <v>1913</v>
      </c>
      <c r="J678" s="3">
        <v>90054</v>
      </c>
      <c r="K678" s="3" t="str">
        <f t="shared" si="45"/>
        <v>Don't Watch</v>
      </c>
      <c r="L678" s="3" t="str">
        <f t="shared" si="42"/>
        <v>Don't Watch</v>
      </c>
      <c r="M678" s="3"/>
      <c r="N678" s="3" t="str">
        <f t="shared" si="43"/>
        <v>Maybe</v>
      </c>
      <c r="O678" t="s">
        <v>1914</v>
      </c>
      <c r="P678" t="b">
        <f t="shared" si="44"/>
        <v>0</v>
      </c>
    </row>
    <row r="679" spans="1:16" x14ac:dyDescent="0.25">
      <c r="A679">
        <v>678</v>
      </c>
      <c r="B679" t="s">
        <v>1915</v>
      </c>
      <c r="C679">
        <v>-1993</v>
      </c>
      <c r="D679" t="s">
        <v>49</v>
      </c>
      <c r="E679" t="s">
        <v>331</v>
      </c>
      <c r="F679" t="s">
        <v>78</v>
      </c>
      <c r="G679">
        <v>7.8</v>
      </c>
      <c r="H679">
        <v>86</v>
      </c>
      <c r="I679" t="s">
        <v>1916</v>
      </c>
      <c r="J679" s="3">
        <v>73567</v>
      </c>
      <c r="K679" s="3" t="str">
        <f t="shared" si="45"/>
        <v>Don't Watch</v>
      </c>
      <c r="L679" s="3" t="str">
        <f t="shared" si="42"/>
        <v>Don't Watch</v>
      </c>
      <c r="M679" s="3"/>
      <c r="N679" s="3" t="str">
        <f t="shared" si="43"/>
        <v>Maybe</v>
      </c>
      <c r="O679" t="s">
        <v>1917</v>
      </c>
      <c r="P679" t="b">
        <f t="shared" si="44"/>
        <v>0</v>
      </c>
    </row>
    <row r="680" spans="1:16" x14ac:dyDescent="0.25">
      <c r="A680">
        <v>679</v>
      </c>
      <c r="B680" t="s">
        <v>1918</v>
      </c>
      <c r="C680">
        <v>-1993</v>
      </c>
      <c r="D680">
        <v>18</v>
      </c>
      <c r="E680" t="s">
        <v>1057</v>
      </c>
      <c r="F680" t="s">
        <v>279</v>
      </c>
      <c r="G680">
        <v>7.8</v>
      </c>
      <c r="I680" t="s">
        <v>1919</v>
      </c>
      <c r="J680" s="3">
        <v>37270</v>
      </c>
      <c r="K680" s="3" t="str">
        <f t="shared" si="45"/>
        <v>Don't Watch</v>
      </c>
      <c r="L680" s="3" t="str">
        <f t="shared" si="42"/>
        <v>Don't Watch</v>
      </c>
      <c r="M680" s="3"/>
      <c r="N680" s="3" t="str">
        <f t="shared" si="43"/>
        <v>Maybe</v>
      </c>
      <c r="P680" t="b">
        <f t="shared" si="44"/>
        <v>0</v>
      </c>
    </row>
    <row r="681" spans="1:16" x14ac:dyDescent="0.25">
      <c r="A681">
        <v>680</v>
      </c>
      <c r="B681" t="s">
        <v>1920</v>
      </c>
      <c r="C681">
        <v>-1993</v>
      </c>
      <c r="D681">
        <v>12</v>
      </c>
      <c r="E681" t="s">
        <v>108</v>
      </c>
      <c r="F681" t="s">
        <v>32</v>
      </c>
      <c r="G681">
        <v>7.8</v>
      </c>
      <c r="H681">
        <v>87</v>
      </c>
      <c r="I681" t="s">
        <v>1921</v>
      </c>
      <c r="J681" s="3">
        <v>290503</v>
      </c>
      <c r="K681" s="3" t="str">
        <f t="shared" si="45"/>
        <v>Don't Watch</v>
      </c>
      <c r="L681" s="3" t="str">
        <f t="shared" si="42"/>
        <v>Don't Watch</v>
      </c>
      <c r="M681" s="3"/>
      <c r="N681" s="3" t="str">
        <f t="shared" si="43"/>
        <v>Maybe</v>
      </c>
      <c r="O681" t="s">
        <v>1922</v>
      </c>
      <c r="P681" t="b">
        <f t="shared" si="44"/>
        <v>0</v>
      </c>
    </row>
    <row r="682" spans="1:16" x14ac:dyDescent="0.25">
      <c r="A682">
        <v>681</v>
      </c>
      <c r="B682" t="s">
        <v>1923</v>
      </c>
      <c r="C682">
        <v>-1993</v>
      </c>
      <c r="D682">
        <v>18</v>
      </c>
      <c r="E682" t="s">
        <v>148</v>
      </c>
      <c r="F682" t="s">
        <v>26</v>
      </c>
      <c r="G682">
        <v>7.8</v>
      </c>
      <c r="H682">
        <v>80</v>
      </c>
      <c r="I682" t="s">
        <v>1924</v>
      </c>
      <c r="J682" s="3">
        <v>139565</v>
      </c>
      <c r="K682" s="3" t="str">
        <f t="shared" si="45"/>
        <v>Don't Watch</v>
      </c>
      <c r="L682" s="3" t="str">
        <f t="shared" si="42"/>
        <v>Don't Watch</v>
      </c>
      <c r="M682" s="3"/>
      <c r="N682" s="3" t="str">
        <f t="shared" si="43"/>
        <v>Maybe</v>
      </c>
      <c r="O682" t="s">
        <v>1925</v>
      </c>
      <c r="P682" t="b">
        <f t="shared" si="44"/>
        <v>0</v>
      </c>
    </row>
    <row r="683" spans="1:16" x14ac:dyDescent="0.25">
      <c r="A683">
        <v>682</v>
      </c>
      <c r="B683" t="s">
        <v>1926</v>
      </c>
      <c r="C683">
        <v>-1993</v>
      </c>
      <c r="D683" t="s">
        <v>74</v>
      </c>
      <c r="E683" t="s">
        <v>1568</v>
      </c>
      <c r="F683" t="s">
        <v>279</v>
      </c>
      <c r="G683">
        <v>7.8</v>
      </c>
      <c r="I683" t="s">
        <v>1927</v>
      </c>
      <c r="J683" s="3">
        <v>50271</v>
      </c>
      <c r="K683" s="3" t="str">
        <f t="shared" si="45"/>
        <v>Don't Watch</v>
      </c>
      <c r="L683" s="3" t="str">
        <f t="shared" si="42"/>
        <v>Don't Watch</v>
      </c>
      <c r="M683" s="3"/>
      <c r="N683" s="3" t="str">
        <f t="shared" si="43"/>
        <v>Maybe</v>
      </c>
      <c r="O683" t="s">
        <v>1928</v>
      </c>
      <c r="P683" t="b">
        <f t="shared" si="44"/>
        <v>0</v>
      </c>
    </row>
    <row r="684" spans="1:16" x14ac:dyDescent="0.25">
      <c r="A684">
        <v>683</v>
      </c>
      <c r="B684" t="s">
        <v>1929</v>
      </c>
      <c r="C684">
        <v>-1991</v>
      </c>
      <c r="D684">
        <v>15</v>
      </c>
      <c r="E684" t="s">
        <v>176</v>
      </c>
      <c r="F684" t="s">
        <v>26</v>
      </c>
      <c r="G684">
        <v>7.8</v>
      </c>
      <c r="H684">
        <v>76</v>
      </c>
      <c r="I684" t="s">
        <v>1930</v>
      </c>
      <c r="J684" s="3">
        <v>138685</v>
      </c>
      <c r="K684" s="3" t="str">
        <f t="shared" si="45"/>
        <v>Don't Watch</v>
      </c>
      <c r="L684" s="3" t="str">
        <f t="shared" si="42"/>
        <v>Don't Watch</v>
      </c>
      <c r="M684" s="3"/>
      <c r="N684" s="3" t="str">
        <f t="shared" si="43"/>
        <v>Maybe</v>
      </c>
      <c r="O684" t="s">
        <v>1931</v>
      </c>
      <c r="P684" t="b">
        <f t="shared" si="44"/>
        <v>0</v>
      </c>
    </row>
    <row r="685" spans="1:16" x14ac:dyDescent="0.25">
      <c r="A685">
        <v>684</v>
      </c>
      <c r="B685" t="s">
        <v>1932</v>
      </c>
      <c r="C685">
        <v>-1990</v>
      </c>
      <c r="D685">
        <v>18</v>
      </c>
      <c r="E685" t="s">
        <v>493</v>
      </c>
      <c r="F685" t="s">
        <v>756</v>
      </c>
      <c r="G685">
        <v>7.8</v>
      </c>
      <c r="H685">
        <v>75</v>
      </c>
      <c r="I685" t="s">
        <v>935</v>
      </c>
      <c r="J685" s="3">
        <v>204929</v>
      </c>
      <c r="K685" s="3" t="str">
        <f t="shared" si="45"/>
        <v>Don't Watch</v>
      </c>
      <c r="L685" s="3" t="str">
        <f t="shared" si="42"/>
        <v>Don't Watch</v>
      </c>
      <c r="M685" s="3"/>
      <c r="N685" s="3" t="str">
        <f t="shared" si="43"/>
        <v>Maybe</v>
      </c>
      <c r="O685" t="s">
        <v>1933</v>
      </c>
      <c r="P685" t="b">
        <f t="shared" si="44"/>
        <v>0</v>
      </c>
    </row>
    <row r="686" spans="1:16" x14ac:dyDescent="0.25">
      <c r="A686">
        <v>685</v>
      </c>
      <c r="B686" t="s">
        <v>1934</v>
      </c>
      <c r="C686">
        <v>-1990</v>
      </c>
      <c r="D686">
        <v>12</v>
      </c>
      <c r="E686" t="s">
        <v>148</v>
      </c>
      <c r="F686" t="s">
        <v>606</v>
      </c>
      <c r="G686">
        <v>7.8</v>
      </c>
      <c r="H686">
        <v>74</v>
      </c>
      <c r="I686" t="s">
        <v>1935</v>
      </c>
      <c r="J686" s="3">
        <v>138991</v>
      </c>
      <c r="K686" s="3" t="str">
        <f t="shared" si="45"/>
        <v>Don't Watch</v>
      </c>
      <c r="L686" s="3" t="str">
        <f t="shared" si="42"/>
        <v>Don't Watch</v>
      </c>
      <c r="M686" s="3"/>
      <c r="N686" s="3" t="str">
        <f t="shared" si="43"/>
        <v>Maybe</v>
      </c>
      <c r="O686" t="s">
        <v>1936</v>
      </c>
      <c r="P686" t="b">
        <f t="shared" si="44"/>
        <v>0</v>
      </c>
    </row>
    <row r="687" spans="1:16" x14ac:dyDescent="0.25">
      <c r="A687">
        <v>686</v>
      </c>
      <c r="B687" t="s">
        <v>1937</v>
      </c>
      <c r="C687">
        <v>-1989</v>
      </c>
      <c r="D687" t="s">
        <v>49</v>
      </c>
      <c r="E687" t="s">
        <v>403</v>
      </c>
      <c r="F687" t="s">
        <v>120</v>
      </c>
      <c r="G687">
        <v>7.8</v>
      </c>
      <c r="H687">
        <v>83</v>
      </c>
      <c r="I687" t="s">
        <v>121</v>
      </c>
      <c r="J687" s="3">
        <v>141253</v>
      </c>
      <c r="K687" s="3" t="str">
        <f t="shared" si="45"/>
        <v>Don't Watch</v>
      </c>
      <c r="L687" s="3" t="str">
        <f t="shared" si="42"/>
        <v>Don't Watch</v>
      </c>
      <c r="M687" s="3"/>
      <c r="N687" s="3" t="str">
        <f t="shared" si="43"/>
        <v>Maybe</v>
      </c>
      <c r="P687" t="b">
        <f t="shared" si="44"/>
        <v>0</v>
      </c>
    </row>
    <row r="688" spans="1:16" x14ac:dyDescent="0.25">
      <c r="A688">
        <v>687</v>
      </c>
      <c r="B688" t="s">
        <v>1938</v>
      </c>
      <c r="C688">
        <v>-1989</v>
      </c>
      <c r="D688">
        <v>15</v>
      </c>
      <c r="E688" t="s">
        <v>268</v>
      </c>
      <c r="F688" t="s">
        <v>42</v>
      </c>
      <c r="G688">
        <v>7.8</v>
      </c>
      <c r="H688">
        <v>78</v>
      </c>
      <c r="I688" t="s">
        <v>1150</v>
      </c>
      <c r="J688" s="3">
        <v>133793</v>
      </c>
      <c r="K688" s="3" t="str">
        <f t="shared" si="45"/>
        <v>Don't Watch</v>
      </c>
      <c r="L688" s="3" t="str">
        <f t="shared" si="42"/>
        <v>Don't Watch</v>
      </c>
      <c r="M688" s="3"/>
      <c r="N688" s="3" t="str">
        <f t="shared" si="43"/>
        <v>Maybe</v>
      </c>
      <c r="O688" t="s">
        <v>1939</v>
      </c>
      <c r="P688" t="b">
        <f t="shared" si="44"/>
        <v>0</v>
      </c>
    </row>
    <row r="689" spans="1:16" x14ac:dyDescent="0.25">
      <c r="A689">
        <v>688</v>
      </c>
      <c r="B689" t="s">
        <v>1940</v>
      </c>
      <c r="C689">
        <v>-1989</v>
      </c>
      <c r="D689">
        <v>18</v>
      </c>
      <c r="E689" t="s">
        <v>610</v>
      </c>
      <c r="F689" t="s">
        <v>32</v>
      </c>
      <c r="G689">
        <v>7.8</v>
      </c>
      <c r="H689">
        <v>82</v>
      </c>
      <c r="I689" t="s">
        <v>1941</v>
      </c>
      <c r="J689" s="3">
        <v>48238</v>
      </c>
      <c r="K689" s="3" t="str">
        <f t="shared" si="45"/>
        <v>Don't Watch</v>
      </c>
      <c r="L689" s="3" t="str">
        <f t="shared" si="42"/>
        <v>Don't Watch</v>
      </c>
      <c r="M689" s="3"/>
      <c r="N689" s="3" t="str">
        <f t="shared" si="43"/>
        <v>Maybe</v>
      </c>
      <c r="P689" t="b">
        <f t="shared" si="44"/>
        <v>0</v>
      </c>
    </row>
    <row r="690" spans="1:16" x14ac:dyDescent="0.25">
      <c r="A690">
        <v>689</v>
      </c>
      <c r="B690" t="s">
        <v>1942</v>
      </c>
      <c r="C690">
        <v>-1989</v>
      </c>
      <c r="D690">
        <v>15</v>
      </c>
      <c r="E690" t="s">
        <v>418</v>
      </c>
      <c r="F690" t="s">
        <v>304</v>
      </c>
      <c r="G690">
        <v>7.8</v>
      </c>
      <c r="H690">
        <v>77</v>
      </c>
      <c r="I690" t="s">
        <v>1294</v>
      </c>
      <c r="J690" s="3">
        <v>57772</v>
      </c>
      <c r="K690" s="3" t="str">
        <f t="shared" si="45"/>
        <v>Don't Watch</v>
      </c>
      <c r="L690" s="3" t="str">
        <f t="shared" si="42"/>
        <v>Don't Watch</v>
      </c>
      <c r="M690" s="3"/>
      <c r="N690" s="3" t="str">
        <f t="shared" si="43"/>
        <v>Maybe</v>
      </c>
      <c r="O690" t="s">
        <v>1943</v>
      </c>
      <c r="P690" t="b">
        <f t="shared" si="44"/>
        <v>0</v>
      </c>
    </row>
    <row r="691" spans="1:16" x14ac:dyDescent="0.25">
      <c r="A691">
        <v>690</v>
      </c>
      <c r="B691" t="s">
        <v>1944</v>
      </c>
      <c r="C691">
        <v>-1989</v>
      </c>
      <c r="D691" t="s">
        <v>74</v>
      </c>
      <c r="E691" t="s">
        <v>409</v>
      </c>
      <c r="F691" t="s">
        <v>225</v>
      </c>
      <c r="G691">
        <v>7.8</v>
      </c>
      <c r="H691">
        <v>57</v>
      </c>
      <c r="I691" t="s">
        <v>79</v>
      </c>
      <c r="J691" s="3">
        <v>521227</v>
      </c>
      <c r="K691" s="3" t="str">
        <f t="shared" si="45"/>
        <v>Don't Watch</v>
      </c>
      <c r="L691" s="3" t="str">
        <f t="shared" si="42"/>
        <v>Don't Watch</v>
      </c>
      <c r="M691" s="3"/>
      <c r="N691" s="3" t="str">
        <f t="shared" si="43"/>
        <v>Maybe</v>
      </c>
      <c r="O691" t="s">
        <v>1945</v>
      </c>
      <c r="P691" t="b">
        <f t="shared" si="44"/>
        <v>0</v>
      </c>
    </row>
    <row r="692" spans="1:16" x14ac:dyDescent="0.25">
      <c r="A692">
        <v>691</v>
      </c>
      <c r="B692" t="s">
        <v>1946</v>
      </c>
      <c r="C692">
        <v>-1988</v>
      </c>
      <c r="D692">
        <v>18</v>
      </c>
      <c r="E692" t="s">
        <v>477</v>
      </c>
      <c r="F692" t="s">
        <v>1947</v>
      </c>
      <c r="G692">
        <v>7.8</v>
      </c>
      <c r="H692">
        <v>65</v>
      </c>
      <c r="I692" t="s">
        <v>1282</v>
      </c>
      <c r="J692" s="3">
        <v>99407</v>
      </c>
      <c r="K692" s="3" t="str">
        <f t="shared" si="45"/>
        <v>Don't Watch</v>
      </c>
      <c r="L692" s="3" t="str">
        <f t="shared" si="42"/>
        <v>Don't Watch</v>
      </c>
      <c r="M692" s="3"/>
      <c r="N692" s="3" t="str">
        <f t="shared" si="43"/>
        <v>Maybe</v>
      </c>
      <c r="O692" t="s">
        <v>1948</v>
      </c>
      <c r="P692" t="b">
        <f t="shared" si="44"/>
        <v>0</v>
      </c>
    </row>
    <row r="693" spans="1:16" x14ac:dyDescent="0.25">
      <c r="A693">
        <v>692</v>
      </c>
      <c r="B693" t="s">
        <v>1949</v>
      </c>
      <c r="C693">
        <v>-1987</v>
      </c>
      <c r="D693">
        <v>18</v>
      </c>
      <c r="E693" t="s">
        <v>493</v>
      </c>
      <c r="F693" t="s">
        <v>1950</v>
      </c>
      <c r="G693">
        <v>7.8</v>
      </c>
      <c r="H693">
        <v>45</v>
      </c>
      <c r="I693" t="s">
        <v>641</v>
      </c>
      <c r="J693" s="3">
        <v>402756</v>
      </c>
      <c r="K693" s="3" t="str">
        <f t="shared" si="45"/>
        <v>Don't Watch</v>
      </c>
      <c r="L693" s="3" t="str">
        <f t="shared" si="42"/>
        <v>Don't Watch</v>
      </c>
      <c r="M693" s="3"/>
      <c r="N693" s="3" t="str">
        <f t="shared" si="43"/>
        <v>Maybe</v>
      </c>
      <c r="O693" t="s">
        <v>1951</v>
      </c>
      <c r="P693" t="b">
        <f t="shared" si="44"/>
        <v>0</v>
      </c>
    </row>
    <row r="694" spans="1:16" x14ac:dyDescent="0.25">
      <c r="A694">
        <v>693</v>
      </c>
      <c r="B694" t="s">
        <v>1952</v>
      </c>
      <c r="C694">
        <v>-1986</v>
      </c>
      <c r="D694">
        <v>15</v>
      </c>
      <c r="E694" t="s">
        <v>403</v>
      </c>
      <c r="F694" t="s">
        <v>1287</v>
      </c>
      <c r="G694">
        <v>7.8</v>
      </c>
      <c r="H694">
        <v>61</v>
      </c>
      <c r="I694" t="s">
        <v>1953</v>
      </c>
      <c r="J694" s="3">
        <v>350460</v>
      </c>
      <c r="K694" s="3" t="str">
        <f t="shared" si="45"/>
        <v>Don't Watch</v>
      </c>
      <c r="L694" s="3" t="str">
        <f t="shared" si="42"/>
        <v>Don't Watch</v>
      </c>
      <c r="M694" s="3"/>
      <c r="N694" s="3" t="str">
        <f t="shared" si="43"/>
        <v>Maybe</v>
      </c>
      <c r="O694" t="s">
        <v>1954</v>
      </c>
      <c r="P694" t="b">
        <f t="shared" si="44"/>
        <v>0</v>
      </c>
    </row>
    <row r="695" spans="1:16" x14ac:dyDescent="0.25">
      <c r="A695">
        <v>694</v>
      </c>
      <c r="B695" t="s">
        <v>1955</v>
      </c>
      <c r="C695">
        <v>-1985</v>
      </c>
      <c r="D695">
        <v>15</v>
      </c>
      <c r="E695" t="s">
        <v>576</v>
      </c>
      <c r="F695" t="s">
        <v>304</v>
      </c>
      <c r="G695">
        <v>7.8</v>
      </c>
      <c r="H695">
        <v>66</v>
      </c>
      <c r="I695" t="s">
        <v>1953</v>
      </c>
      <c r="J695" s="3">
        <v>389134</v>
      </c>
      <c r="K695" s="3" t="str">
        <f t="shared" si="45"/>
        <v>Don't Watch</v>
      </c>
      <c r="L695" s="3" t="str">
        <f t="shared" si="42"/>
        <v>Don't Watch</v>
      </c>
      <c r="M695" s="3"/>
      <c r="N695" s="3" t="str">
        <f t="shared" si="43"/>
        <v>Maybe</v>
      </c>
      <c r="O695" t="s">
        <v>1956</v>
      </c>
      <c r="P695" t="b">
        <f t="shared" si="44"/>
        <v>0</v>
      </c>
    </row>
    <row r="696" spans="1:16" x14ac:dyDescent="0.25">
      <c r="A696">
        <v>695</v>
      </c>
      <c r="B696" t="s">
        <v>1957</v>
      </c>
      <c r="C696">
        <v>-1984</v>
      </c>
      <c r="D696">
        <v>15</v>
      </c>
      <c r="E696" t="s">
        <v>163</v>
      </c>
      <c r="F696" t="s">
        <v>42</v>
      </c>
      <c r="G696">
        <v>7.8</v>
      </c>
      <c r="H696">
        <v>76</v>
      </c>
      <c r="I696" t="s">
        <v>1958</v>
      </c>
      <c r="J696" s="3">
        <v>55298</v>
      </c>
      <c r="K696" s="3" t="str">
        <f t="shared" si="45"/>
        <v>Don't Watch</v>
      </c>
      <c r="L696" s="3" t="str">
        <f t="shared" si="42"/>
        <v>Don't Watch</v>
      </c>
      <c r="M696" s="3"/>
      <c r="N696" s="3" t="str">
        <f t="shared" si="43"/>
        <v>Maybe</v>
      </c>
      <c r="O696" t="s">
        <v>1959</v>
      </c>
      <c r="P696" t="b">
        <f t="shared" si="44"/>
        <v>0</v>
      </c>
    </row>
    <row r="697" spans="1:16" x14ac:dyDescent="0.25">
      <c r="A697">
        <v>696</v>
      </c>
      <c r="B697" t="s">
        <v>1960</v>
      </c>
      <c r="C697">
        <v>-1984</v>
      </c>
      <c r="D697" t="s">
        <v>74</v>
      </c>
      <c r="E697" t="s">
        <v>291</v>
      </c>
      <c r="F697" t="s">
        <v>1961</v>
      </c>
      <c r="G697">
        <v>7.8</v>
      </c>
      <c r="H697">
        <v>71</v>
      </c>
      <c r="I697" t="s">
        <v>1962</v>
      </c>
      <c r="J697" s="3">
        <v>406912</v>
      </c>
      <c r="K697" s="3" t="str">
        <f t="shared" si="45"/>
        <v>Don't Watch</v>
      </c>
      <c r="L697" s="3" t="str">
        <f t="shared" si="42"/>
        <v>Don't Watch</v>
      </c>
      <c r="M697" s="3"/>
      <c r="N697" s="3" t="str">
        <f t="shared" si="43"/>
        <v>Maybe</v>
      </c>
      <c r="O697" t="s">
        <v>1963</v>
      </c>
      <c r="P697" t="b">
        <f t="shared" si="44"/>
        <v>0</v>
      </c>
    </row>
    <row r="698" spans="1:16" x14ac:dyDescent="0.25">
      <c r="A698">
        <v>697</v>
      </c>
      <c r="B698" t="s">
        <v>1964</v>
      </c>
      <c r="C698">
        <v>-1983</v>
      </c>
      <c r="D698">
        <v>15</v>
      </c>
      <c r="E698" t="s">
        <v>1631</v>
      </c>
      <c r="F698" t="s">
        <v>466</v>
      </c>
      <c r="G698">
        <v>7.8</v>
      </c>
      <c r="H698">
        <v>91</v>
      </c>
      <c r="I698" t="s">
        <v>1965</v>
      </c>
      <c r="J698" s="3">
        <v>61141</v>
      </c>
      <c r="K698" s="3" t="str">
        <f t="shared" si="45"/>
        <v>Don't Watch</v>
      </c>
      <c r="L698" s="3" t="str">
        <f t="shared" si="42"/>
        <v>Don't Watch</v>
      </c>
      <c r="M698" s="3"/>
      <c r="N698" s="3" t="str">
        <f t="shared" si="43"/>
        <v>Maybe</v>
      </c>
      <c r="O698" t="s">
        <v>1966</v>
      </c>
      <c r="P698" t="b">
        <f t="shared" si="44"/>
        <v>0</v>
      </c>
    </row>
    <row r="699" spans="1:16" x14ac:dyDescent="0.25">
      <c r="A699">
        <v>698</v>
      </c>
      <c r="B699" t="s">
        <v>1967</v>
      </c>
      <c r="C699">
        <v>-1982</v>
      </c>
      <c r="D699" t="s">
        <v>74</v>
      </c>
      <c r="E699" t="s">
        <v>241</v>
      </c>
      <c r="F699" t="s">
        <v>453</v>
      </c>
      <c r="G699">
        <v>7.8</v>
      </c>
      <c r="H699">
        <v>73</v>
      </c>
      <c r="I699" t="s">
        <v>96</v>
      </c>
      <c r="J699" s="3">
        <v>101537</v>
      </c>
      <c r="K699" s="3" t="str">
        <f t="shared" si="45"/>
        <v>Don't Watch</v>
      </c>
      <c r="L699" s="3" t="str">
        <f t="shared" si="42"/>
        <v>Don't Watch</v>
      </c>
      <c r="M699" s="3"/>
      <c r="N699" s="3" t="str">
        <f t="shared" si="43"/>
        <v>Maybe</v>
      </c>
      <c r="O699" t="s">
        <v>1968</v>
      </c>
      <c r="P699" t="b">
        <f t="shared" si="44"/>
        <v>0</v>
      </c>
    </row>
    <row r="700" spans="1:16" x14ac:dyDescent="0.25">
      <c r="A700">
        <v>699</v>
      </c>
      <c r="B700" t="s">
        <v>1969</v>
      </c>
      <c r="C700">
        <v>-1979</v>
      </c>
      <c r="D700" t="s">
        <v>155</v>
      </c>
      <c r="E700" t="s">
        <v>291</v>
      </c>
      <c r="F700" t="s">
        <v>20</v>
      </c>
      <c r="G700">
        <v>7.8</v>
      </c>
      <c r="H700">
        <v>77</v>
      </c>
      <c r="I700" t="s">
        <v>1970</v>
      </c>
      <c r="J700" s="3">
        <v>143960</v>
      </c>
      <c r="K700" s="3" t="str">
        <f t="shared" si="45"/>
        <v>Don't Watch</v>
      </c>
      <c r="L700" s="3" t="str">
        <f t="shared" si="42"/>
        <v>Don't Watch</v>
      </c>
      <c r="M700" s="3"/>
      <c r="N700" s="3" t="str">
        <f t="shared" si="43"/>
        <v>Maybe</v>
      </c>
      <c r="O700" t="s">
        <v>1971</v>
      </c>
      <c r="P700" t="b">
        <f t="shared" si="44"/>
        <v>0</v>
      </c>
    </row>
    <row r="701" spans="1:16" x14ac:dyDescent="0.25">
      <c r="A701">
        <v>700</v>
      </c>
      <c r="B701" t="s">
        <v>1972</v>
      </c>
      <c r="C701">
        <v>-1979</v>
      </c>
      <c r="D701" t="s">
        <v>24</v>
      </c>
      <c r="E701" t="s">
        <v>384</v>
      </c>
      <c r="F701" t="s">
        <v>1973</v>
      </c>
      <c r="G701">
        <v>7.8</v>
      </c>
      <c r="H701">
        <v>72</v>
      </c>
      <c r="I701" t="s">
        <v>1974</v>
      </c>
      <c r="J701" s="3">
        <v>31520</v>
      </c>
      <c r="K701" s="3" t="str">
        <f t="shared" si="45"/>
        <v>Don't Watch</v>
      </c>
      <c r="L701" s="3" t="str">
        <f t="shared" si="42"/>
        <v>Don't Watch</v>
      </c>
      <c r="M701" s="3"/>
      <c r="N701" s="3" t="str">
        <f t="shared" si="43"/>
        <v>Maybe</v>
      </c>
      <c r="O701" t="s">
        <v>1975</v>
      </c>
      <c r="P701" t="b">
        <f t="shared" si="44"/>
        <v>0</v>
      </c>
    </row>
    <row r="702" spans="1:16" x14ac:dyDescent="0.25">
      <c r="A702">
        <v>701</v>
      </c>
      <c r="B702" t="s">
        <v>1976</v>
      </c>
      <c r="C702">
        <v>-1978</v>
      </c>
      <c r="D702" t="s">
        <v>155</v>
      </c>
      <c r="E702" t="s">
        <v>1057</v>
      </c>
      <c r="F702" t="s">
        <v>78</v>
      </c>
      <c r="G702">
        <v>7.8</v>
      </c>
      <c r="H702">
        <v>93</v>
      </c>
      <c r="I702" t="s">
        <v>1977</v>
      </c>
      <c r="J702" s="3">
        <v>57723</v>
      </c>
      <c r="K702" s="3" t="str">
        <f t="shared" si="45"/>
        <v>Don't Watch</v>
      </c>
      <c r="L702" s="3" t="str">
        <f t="shared" si="42"/>
        <v>Don't Watch</v>
      </c>
      <c r="M702" s="3"/>
      <c r="N702" s="3" t="str">
        <f t="shared" si="43"/>
        <v>Maybe</v>
      </c>
      <c r="P702" t="b">
        <f t="shared" si="44"/>
        <v>0</v>
      </c>
    </row>
    <row r="703" spans="1:16" x14ac:dyDescent="0.25">
      <c r="A703">
        <v>702</v>
      </c>
      <c r="B703" t="s">
        <v>1978</v>
      </c>
      <c r="C703">
        <v>-1978</v>
      </c>
      <c r="D703" t="s">
        <v>24</v>
      </c>
      <c r="E703" t="s">
        <v>136</v>
      </c>
      <c r="F703" t="s">
        <v>1979</v>
      </c>
      <c r="G703">
        <v>7.8</v>
      </c>
      <c r="H703">
        <v>71</v>
      </c>
      <c r="I703" t="s">
        <v>1980</v>
      </c>
      <c r="J703" s="3">
        <v>119373</v>
      </c>
      <c r="K703" s="3" t="str">
        <f t="shared" si="45"/>
        <v>Don't Watch</v>
      </c>
      <c r="L703" s="3" t="str">
        <f t="shared" si="42"/>
        <v>Don't Watch</v>
      </c>
      <c r="M703" s="3"/>
      <c r="N703" s="3" t="str">
        <f t="shared" si="43"/>
        <v>Maybe</v>
      </c>
      <c r="O703" t="s">
        <v>1981</v>
      </c>
      <c r="P703" t="b">
        <f t="shared" si="44"/>
        <v>0</v>
      </c>
    </row>
    <row r="704" spans="1:16" x14ac:dyDescent="0.25">
      <c r="A704">
        <v>703</v>
      </c>
      <c r="B704" t="s">
        <v>1982</v>
      </c>
      <c r="C704">
        <v>-1976</v>
      </c>
      <c r="D704">
        <v>18</v>
      </c>
      <c r="E704" t="s">
        <v>309</v>
      </c>
      <c r="F704" t="s">
        <v>238</v>
      </c>
      <c r="G704">
        <v>7.8</v>
      </c>
      <c r="H704">
        <v>69</v>
      </c>
      <c r="I704" t="s">
        <v>635</v>
      </c>
      <c r="J704" s="3">
        <v>72889</v>
      </c>
      <c r="K704" s="3" t="str">
        <f t="shared" si="45"/>
        <v>Don't Watch</v>
      </c>
      <c r="L704" s="3" t="str">
        <f t="shared" si="42"/>
        <v>Don't Watch</v>
      </c>
      <c r="M704" s="3"/>
      <c r="N704" s="3" t="str">
        <f t="shared" si="43"/>
        <v>Maybe</v>
      </c>
      <c r="O704" t="s">
        <v>1983</v>
      </c>
      <c r="P704" t="b">
        <f t="shared" si="44"/>
        <v>0</v>
      </c>
    </row>
    <row r="705" spans="1:16" x14ac:dyDescent="0.25">
      <c r="A705">
        <v>704</v>
      </c>
      <c r="B705" t="s">
        <v>1984</v>
      </c>
      <c r="C705">
        <v>-1975</v>
      </c>
      <c r="D705" t="s">
        <v>74</v>
      </c>
      <c r="E705" t="s">
        <v>452</v>
      </c>
      <c r="F705" t="s">
        <v>1985</v>
      </c>
      <c r="G705">
        <v>7.8</v>
      </c>
      <c r="H705">
        <v>91</v>
      </c>
      <c r="I705" t="s">
        <v>698</v>
      </c>
      <c r="J705" s="3">
        <v>48688</v>
      </c>
      <c r="K705" s="3" t="str">
        <f t="shared" si="45"/>
        <v>Don't Watch</v>
      </c>
      <c r="L705" s="3" t="str">
        <f t="shared" si="42"/>
        <v>Don't Watch</v>
      </c>
      <c r="M705" s="3"/>
      <c r="N705" s="3" t="str">
        <f t="shared" si="43"/>
        <v>Maybe</v>
      </c>
      <c r="P705" t="b">
        <f t="shared" si="44"/>
        <v>0</v>
      </c>
    </row>
    <row r="706" spans="1:16" x14ac:dyDescent="0.25">
      <c r="A706">
        <v>705</v>
      </c>
      <c r="B706" t="s">
        <v>1986</v>
      </c>
      <c r="C706">
        <v>-1973</v>
      </c>
      <c r="D706" t="s">
        <v>24</v>
      </c>
      <c r="E706" t="s">
        <v>655</v>
      </c>
      <c r="F706" t="s">
        <v>1189</v>
      </c>
      <c r="G706">
        <v>7.8</v>
      </c>
      <c r="H706">
        <v>76</v>
      </c>
      <c r="I706" t="s">
        <v>1987</v>
      </c>
      <c r="J706" s="3">
        <v>42373</v>
      </c>
      <c r="K706" s="3" t="str">
        <f t="shared" si="45"/>
        <v>Don't Watch</v>
      </c>
      <c r="L706" s="3" t="str">
        <f t="shared" si="42"/>
        <v>Don't Watch</v>
      </c>
      <c r="M706" s="3"/>
      <c r="N706" s="3" t="str">
        <f t="shared" si="43"/>
        <v>Maybe</v>
      </c>
      <c r="O706" t="s">
        <v>488</v>
      </c>
      <c r="P706" t="b">
        <f t="shared" si="44"/>
        <v>0</v>
      </c>
    </row>
    <row r="707" spans="1:16" x14ac:dyDescent="0.25">
      <c r="A707">
        <v>706</v>
      </c>
      <c r="B707" t="s">
        <v>1988</v>
      </c>
      <c r="C707">
        <v>-1974</v>
      </c>
      <c r="D707" t="s">
        <v>236</v>
      </c>
      <c r="E707" t="s">
        <v>325</v>
      </c>
      <c r="F707" t="s">
        <v>317</v>
      </c>
      <c r="G707">
        <v>7.8</v>
      </c>
      <c r="H707">
        <v>87</v>
      </c>
      <c r="I707" t="s">
        <v>27</v>
      </c>
      <c r="J707" s="3">
        <v>110465</v>
      </c>
      <c r="K707" s="3" t="str">
        <f t="shared" si="45"/>
        <v>Don't Watch</v>
      </c>
      <c r="L707" s="3" t="str">
        <f t="shared" ref="L707:L770" si="46">IF(G707=9,"Must Watch",IF(G707=8,"Maybe","Don't Watch"))</f>
        <v>Don't Watch</v>
      </c>
      <c r="M707" s="3"/>
      <c r="N707" s="3" t="str">
        <f t="shared" ref="N707:N770" si="47">IF(I707="Billy Wilder", "Must Watch", IF(I707="John Ford", "Watch", "Maybe"))</f>
        <v>Maybe</v>
      </c>
      <c r="O707" t="s">
        <v>1989</v>
      </c>
      <c r="P707" t="b">
        <f t="shared" ref="P707:P770" si="48">ISNUMBER(B:B)</f>
        <v>0</v>
      </c>
    </row>
    <row r="708" spans="1:16" x14ac:dyDescent="0.25">
      <c r="A708">
        <v>707</v>
      </c>
      <c r="B708" t="s">
        <v>1990</v>
      </c>
      <c r="C708">
        <v>-1973</v>
      </c>
      <c r="D708" t="s">
        <v>155</v>
      </c>
      <c r="E708" t="s">
        <v>354</v>
      </c>
      <c r="F708" t="s">
        <v>144</v>
      </c>
      <c r="G708">
        <v>7.8</v>
      </c>
      <c r="H708">
        <v>80</v>
      </c>
      <c r="I708" t="s">
        <v>1366</v>
      </c>
      <c r="J708" s="3">
        <v>40739</v>
      </c>
      <c r="K708" s="3" t="str">
        <f t="shared" si="45"/>
        <v>Don't Watch</v>
      </c>
      <c r="L708" s="3" t="str">
        <f t="shared" si="46"/>
        <v>Don't Watch</v>
      </c>
      <c r="M708" s="3"/>
      <c r="N708" s="3" t="str">
        <f t="shared" si="47"/>
        <v>Maybe</v>
      </c>
      <c r="O708" t="s">
        <v>1991</v>
      </c>
      <c r="P708" t="b">
        <f t="shared" si="48"/>
        <v>0</v>
      </c>
    </row>
    <row r="709" spans="1:16" x14ac:dyDescent="0.25">
      <c r="A709">
        <v>708</v>
      </c>
      <c r="B709" t="s">
        <v>1992</v>
      </c>
      <c r="C709">
        <v>-1972</v>
      </c>
      <c r="D709" t="s">
        <v>236</v>
      </c>
      <c r="E709" t="s">
        <v>249</v>
      </c>
      <c r="F709" t="s">
        <v>1287</v>
      </c>
      <c r="G709">
        <v>7.8</v>
      </c>
      <c r="H709">
        <v>93</v>
      </c>
      <c r="I709" t="s">
        <v>1335</v>
      </c>
      <c r="J709" s="3">
        <v>42653</v>
      </c>
      <c r="K709" s="3" t="str">
        <f t="shared" si="45"/>
        <v>Don't Watch</v>
      </c>
      <c r="L709" s="3" t="str">
        <f t="shared" si="46"/>
        <v>Don't Watch</v>
      </c>
      <c r="M709" s="3"/>
      <c r="N709" s="3" t="str">
        <f t="shared" si="47"/>
        <v>Maybe</v>
      </c>
      <c r="O709" t="s">
        <v>1039</v>
      </c>
      <c r="P709" t="b">
        <f t="shared" si="48"/>
        <v>0</v>
      </c>
    </row>
    <row r="710" spans="1:16" x14ac:dyDescent="0.25">
      <c r="A710">
        <v>709</v>
      </c>
      <c r="B710" t="s">
        <v>1993</v>
      </c>
      <c r="C710">
        <v>-1972</v>
      </c>
      <c r="D710" t="s">
        <v>155</v>
      </c>
      <c r="E710" t="s">
        <v>356</v>
      </c>
      <c r="F710" t="s">
        <v>1994</v>
      </c>
      <c r="G710">
        <v>7.8</v>
      </c>
      <c r="I710" t="s">
        <v>1285</v>
      </c>
      <c r="J710" s="3">
        <v>56758</v>
      </c>
      <c r="K710" s="3" t="str">
        <f t="shared" si="45"/>
        <v>Don't Watch</v>
      </c>
      <c r="L710" s="3" t="str">
        <f t="shared" si="46"/>
        <v>Don't Watch</v>
      </c>
      <c r="M710" s="3"/>
      <c r="N710" s="3" t="str">
        <f t="shared" si="47"/>
        <v>Maybe</v>
      </c>
      <c r="P710" t="b">
        <f t="shared" si="48"/>
        <v>0</v>
      </c>
    </row>
    <row r="711" spans="1:16" x14ac:dyDescent="0.25">
      <c r="A711">
        <v>710</v>
      </c>
      <c r="B711" t="s">
        <v>1995</v>
      </c>
      <c r="C711">
        <v>-1971</v>
      </c>
      <c r="D711" t="s">
        <v>49</v>
      </c>
      <c r="E711" t="s">
        <v>613</v>
      </c>
      <c r="F711" t="s">
        <v>1996</v>
      </c>
      <c r="G711">
        <v>7.8</v>
      </c>
      <c r="H711">
        <v>67</v>
      </c>
      <c r="I711" t="s">
        <v>1997</v>
      </c>
      <c r="J711" s="3">
        <v>198006</v>
      </c>
      <c r="K711" s="3" t="str">
        <f t="shared" ref="K711:K774" si="49">IF(G711&lt;7.9, "Don't Watch", IF(G711&gt;8, "Must Watch", "Maybe"))</f>
        <v>Don't Watch</v>
      </c>
      <c r="L711" s="3" t="str">
        <f t="shared" si="46"/>
        <v>Don't Watch</v>
      </c>
      <c r="M711" s="3"/>
      <c r="N711" s="3" t="str">
        <f t="shared" si="47"/>
        <v>Maybe</v>
      </c>
      <c r="O711" t="s">
        <v>1998</v>
      </c>
      <c r="P711" t="b">
        <f t="shared" si="48"/>
        <v>0</v>
      </c>
    </row>
    <row r="712" spans="1:16" x14ac:dyDescent="0.25">
      <c r="A712">
        <v>711</v>
      </c>
      <c r="B712" t="s">
        <v>1999</v>
      </c>
      <c r="C712">
        <v>-1969</v>
      </c>
      <c r="D712" t="s">
        <v>24</v>
      </c>
      <c r="E712" t="s">
        <v>325</v>
      </c>
      <c r="F712" t="s">
        <v>20</v>
      </c>
      <c r="G712">
        <v>7.8</v>
      </c>
      <c r="H712">
        <v>79</v>
      </c>
      <c r="I712" t="s">
        <v>2000</v>
      </c>
      <c r="J712" s="3">
        <v>110056</v>
      </c>
      <c r="K712" s="3" t="str">
        <f t="shared" si="49"/>
        <v>Don't Watch</v>
      </c>
      <c r="L712" s="3" t="str">
        <f t="shared" si="46"/>
        <v>Don't Watch</v>
      </c>
      <c r="M712" s="3"/>
      <c r="N712" s="3" t="str">
        <f t="shared" si="47"/>
        <v>Maybe</v>
      </c>
      <c r="O712" t="s">
        <v>2001</v>
      </c>
      <c r="P712" t="b">
        <f t="shared" si="48"/>
        <v>0</v>
      </c>
    </row>
    <row r="713" spans="1:16" x14ac:dyDescent="0.25">
      <c r="A713">
        <v>712</v>
      </c>
      <c r="B713" t="s">
        <v>2002</v>
      </c>
      <c r="C713">
        <v>-1968</v>
      </c>
      <c r="D713" t="s">
        <v>24</v>
      </c>
      <c r="E713" t="s">
        <v>50</v>
      </c>
      <c r="F713" t="s">
        <v>1979</v>
      </c>
      <c r="G713">
        <v>7.8</v>
      </c>
      <c r="H713">
        <v>89</v>
      </c>
      <c r="I713" t="s">
        <v>1980</v>
      </c>
      <c r="J713" s="3">
        <v>126545</v>
      </c>
      <c r="K713" s="3" t="str">
        <f t="shared" si="49"/>
        <v>Don't Watch</v>
      </c>
      <c r="L713" s="3" t="str">
        <f t="shared" si="46"/>
        <v>Don't Watch</v>
      </c>
      <c r="M713" s="3"/>
      <c r="N713" s="3" t="str">
        <f t="shared" si="47"/>
        <v>Maybe</v>
      </c>
      <c r="O713" t="s">
        <v>1648</v>
      </c>
      <c r="P713" t="b">
        <f t="shared" si="48"/>
        <v>0</v>
      </c>
    </row>
    <row r="714" spans="1:16" x14ac:dyDescent="0.25">
      <c r="A714">
        <v>713</v>
      </c>
      <c r="B714" t="s">
        <v>2003</v>
      </c>
      <c r="C714">
        <v>-1967</v>
      </c>
      <c r="D714" t="s">
        <v>49</v>
      </c>
      <c r="E714" t="s">
        <v>409</v>
      </c>
      <c r="F714" t="s">
        <v>304</v>
      </c>
      <c r="G714">
        <v>7.8</v>
      </c>
      <c r="H714">
        <v>63</v>
      </c>
      <c r="I714" t="s">
        <v>470</v>
      </c>
      <c r="J714" s="3">
        <v>44964</v>
      </c>
      <c r="K714" s="3" t="str">
        <f t="shared" si="49"/>
        <v>Don't Watch</v>
      </c>
      <c r="L714" s="3" t="str">
        <f t="shared" si="46"/>
        <v>Don't Watch</v>
      </c>
      <c r="M714" s="3"/>
      <c r="N714" s="3" t="str">
        <f t="shared" si="47"/>
        <v>Maybe</v>
      </c>
      <c r="O714" t="s">
        <v>2004</v>
      </c>
      <c r="P714" t="b">
        <f t="shared" si="48"/>
        <v>0</v>
      </c>
    </row>
    <row r="715" spans="1:16" x14ac:dyDescent="0.25">
      <c r="A715">
        <v>714</v>
      </c>
      <c r="B715" t="s">
        <v>2005</v>
      </c>
      <c r="C715">
        <v>-1964</v>
      </c>
      <c r="D715" t="s">
        <v>155</v>
      </c>
      <c r="E715" t="s">
        <v>658</v>
      </c>
      <c r="F715" t="s">
        <v>2006</v>
      </c>
      <c r="G715">
        <v>7.8</v>
      </c>
      <c r="H715">
        <v>86</v>
      </c>
      <c r="I715" t="s">
        <v>2007</v>
      </c>
      <c r="J715" s="3">
        <v>27337</v>
      </c>
      <c r="K715" s="3" t="str">
        <f t="shared" si="49"/>
        <v>Don't Watch</v>
      </c>
      <c r="L715" s="3" t="str">
        <f t="shared" si="46"/>
        <v>Don't Watch</v>
      </c>
      <c r="M715" s="3"/>
      <c r="N715" s="3" t="str">
        <f t="shared" si="47"/>
        <v>Maybe</v>
      </c>
      <c r="O715" t="s">
        <v>502</v>
      </c>
      <c r="P715" t="b">
        <f t="shared" si="48"/>
        <v>0</v>
      </c>
    </row>
    <row r="716" spans="1:16" x14ac:dyDescent="0.25">
      <c r="A716">
        <v>715</v>
      </c>
      <c r="B716" t="s">
        <v>2008</v>
      </c>
      <c r="C716">
        <v>-1964</v>
      </c>
      <c r="D716" t="s">
        <v>49</v>
      </c>
      <c r="E716" t="s">
        <v>303</v>
      </c>
      <c r="F716" t="s">
        <v>1314</v>
      </c>
      <c r="G716">
        <v>7.8</v>
      </c>
      <c r="H716">
        <v>95</v>
      </c>
      <c r="I716" t="s">
        <v>1686</v>
      </c>
      <c r="J716" s="3">
        <v>94818</v>
      </c>
      <c r="K716" s="3" t="str">
        <f t="shared" si="49"/>
        <v>Don't Watch</v>
      </c>
      <c r="L716" s="3" t="str">
        <f t="shared" si="46"/>
        <v>Don't Watch</v>
      </c>
      <c r="M716" s="3"/>
      <c r="N716" s="3" t="str">
        <f t="shared" si="47"/>
        <v>Maybe</v>
      </c>
      <c r="O716" t="s">
        <v>2009</v>
      </c>
      <c r="P716" t="b">
        <f t="shared" si="48"/>
        <v>0</v>
      </c>
    </row>
    <row r="717" spans="1:16" x14ac:dyDescent="0.25">
      <c r="A717">
        <v>716</v>
      </c>
      <c r="B717" t="s">
        <v>2010</v>
      </c>
      <c r="C717">
        <v>-1964</v>
      </c>
      <c r="D717" t="s">
        <v>49</v>
      </c>
      <c r="E717" t="s">
        <v>70</v>
      </c>
      <c r="F717" t="s">
        <v>2011</v>
      </c>
      <c r="G717">
        <v>7.8</v>
      </c>
      <c r="H717">
        <v>88</v>
      </c>
      <c r="I717" t="s">
        <v>2012</v>
      </c>
      <c r="J717" s="3">
        <v>170231</v>
      </c>
      <c r="K717" s="3" t="str">
        <f t="shared" si="49"/>
        <v>Don't Watch</v>
      </c>
      <c r="L717" s="3" t="str">
        <f t="shared" si="46"/>
        <v>Don't Watch</v>
      </c>
      <c r="M717" s="3"/>
      <c r="N717" s="3" t="str">
        <f t="shared" si="47"/>
        <v>Maybe</v>
      </c>
      <c r="O717" t="s">
        <v>2013</v>
      </c>
      <c r="P717" t="b">
        <f t="shared" si="48"/>
        <v>0</v>
      </c>
    </row>
    <row r="718" spans="1:16" x14ac:dyDescent="0.25">
      <c r="A718">
        <v>717</v>
      </c>
      <c r="B718" t="s">
        <v>2014</v>
      </c>
      <c r="C718">
        <v>-1961</v>
      </c>
      <c r="D718" t="s">
        <v>24</v>
      </c>
      <c r="E718" t="s">
        <v>613</v>
      </c>
      <c r="F718" t="s">
        <v>982</v>
      </c>
      <c r="G718">
        <v>7.8</v>
      </c>
      <c r="H718">
        <v>88</v>
      </c>
      <c r="I718" t="s">
        <v>2015</v>
      </c>
      <c r="J718" s="3">
        <v>30108</v>
      </c>
      <c r="K718" s="3" t="str">
        <f t="shared" si="49"/>
        <v>Don't Watch</v>
      </c>
      <c r="L718" s="3" t="str">
        <f t="shared" si="46"/>
        <v>Don't Watch</v>
      </c>
      <c r="M718" s="3"/>
      <c r="N718" s="3" t="str">
        <f t="shared" si="47"/>
        <v>Maybe</v>
      </c>
      <c r="O718" t="s">
        <v>2016</v>
      </c>
      <c r="P718" t="b">
        <f t="shared" si="48"/>
        <v>0</v>
      </c>
    </row>
    <row r="719" spans="1:16" x14ac:dyDescent="0.25">
      <c r="A719">
        <v>718</v>
      </c>
      <c r="B719" t="s">
        <v>2017</v>
      </c>
      <c r="C719">
        <v>-1960</v>
      </c>
      <c r="D719" t="s">
        <v>24</v>
      </c>
      <c r="E719" t="s">
        <v>1072</v>
      </c>
      <c r="F719" t="s">
        <v>557</v>
      </c>
      <c r="G719">
        <v>7.8</v>
      </c>
      <c r="I719" t="s">
        <v>2018</v>
      </c>
      <c r="J719" s="3">
        <v>29541</v>
      </c>
      <c r="K719" s="3" t="str">
        <f t="shared" si="49"/>
        <v>Don't Watch</v>
      </c>
      <c r="L719" s="3" t="str">
        <f t="shared" si="46"/>
        <v>Don't Watch</v>
      </c>
      <c r="M719" s="3"/>
      <c r="N719" s="3" t="str">
        <f t="shared" si="47"/>
        <v>Maybe</v>
      </c>
      <c r="P719" t="b">
        <f t="shared" si="48"/>
        <v>0</v>
      </c>
    </row>
    <row r="720" spans="1:16" x14ac:dyDescent="0.25">
      <c r="A720">
        <v>719</v>
      </c>
      <c r="B720" t="s">
        <v>2019</v>
      </c>
      <c r="C720">
        <v>-1955</v>
      </c>
      <c r="D720" t="s">
        <v>155</v>
      </c>
      <c r="E720" t="s">
        <v>143</v>
      </c>
      <c r="F720" t="s">
        <v>20</v>
      </c>
      <c r="G720">
        <v>7.8</v>
      </c>
      <c r="H720">
        <v>72</v>
      </c>
      <c r="I720" t="s">
        <v>1020</v>
      </c>
      <c r="J720" s="3">
        <v>45199</v>
      </c>
      <c r="K720" s="3" t="str">
        <f t="shared" si="49"/>
        <v>Don't Watch</v>
      </c>
      <c r="L720" s="3" t="str">
        <f t="shared" si="46"/>
        <v>Don't Watch</v>
      </c>
      <c r="M720" s="3"/>
      <c r="N720" s="3" t="str">
        <f t="shared" si="47"/>
        <v>Maybe</v>
      </c>
      <c r="P720" t="b">
        <f t="shared" si="48"/>
        <v>0</v>
      </c>
    </row>
    <row r="721" spans="1:16" x14ac:dyDescent="0.25">
      <c r="A721">
        <v>720</v>
      </c>
      <c r="B721" t="s">
        <v>2020</v>
      </c>
      <c r="C721">
        <v>-1951</v>
      </c>
      <c r="D721" t="s">
        <v>49</v>
      </c>
      <c r="E721" t="s">
        <v>827</v>
      </c>
      <c r="F721" t="s">
        <v>504</v>
      </c>
      <c r="G721">
        <v>7.8</v>
      </c>
      <c r="I721" t="s">
        <v>993</v>
      </c>
      <c r="J721" s="3">
        <v>81360</v>
      </c>
      <c r="K721" s="3" t="str">
        <f t="shared" si="49"/>
        <v>Don't Watch</v>
      </c>
      <c r="L721" s="3" t="str">
        <f t="shared" si="46"/>
        <v>Don't Watch</v>
      </c>
      <c r="M721" s="3"/>
      <c r="N721" s="3" t="str">
        <f t="shared" si="47"/>
        <v>Maybe</v>
      </c>
      <c r="P721" t="b">
        <f t="shared" si="48"/>
        <v>0</v>
      </c>
    </row>
    <row r="722" spans="1:16" x14ac:dyDescent="0.25">
      <c r="A722">
        <v>721</v>
      </c>
      <c r="B722" t="s">
        <v>2021</v>
      </c>
      <c r="C722">
        <v>-1950</v>
      </c>
      <c r="D722" t="s">
        <v>74</v>
      </c>
      <c r="E722" t="s">
        <v>176</v>
      </c>
      <c r="F722" t="s">
        <v>494</v>
      </c>
      <c r="G722">
        <v>7.8</v>
      </c>
      <c r="H722">
        <v>85</v>
      </c>
      <c r="I722" t="s">
        <v>698</v>
      </c>
      <c r="J722" s="3">
        <v>26869</v>
      </c>
      <c r="K722" s="3" t="str">
        <f t="shared" si="49"/>
        <v>Don't Watch</v>
      </c>
      <c r="L722" s="3" t="str">
        <f t="shared" si="46"/>
        <v>Don't Watch</v>
      </c>
      <c r="M722" s="3"/>
      <c r="N722" s="3" t="str">
        <f t="shared" si="47"/>
        <v>Maybe</v>
      </c>
      <c r="P722" t="b">
        <f t="shared" si="48"/>
        <v>0</v>
      </c>
    </row>
    <row r="723" spans="1:16" x14ac:dyDescent="0.25">
      <c r="A723">
        <v>722</v>
      </c>
      <c r="B723" t="s">
        <v>2022</v>
      </c>
      <c r="C723">
        <v>-1948</v>
      </c>
      <c r="D723" t="s">
        <v>49</v>
      </c>
      <c r="E723" t="s">
        <v>104</v>
      </c>
      <c r="F723" t="s">
        <v>296</v>
      </c>
      <c r="G723">
        <v>7.8</v>
      </c>
      <c r="I723" t="s">
        <v>1348</v>
      </c>
      <c r="J723" s="3">
        <v>31015</v>
      </c>
      <c r="K723" s="3" t="str">
        <f t="shared" si="49"/>
        <v>Don't Watch</v>
      </c>
      <c r="L723" s="3" t="str">
        <f t="shared" si="46"/>
        <v>Don't Watch</v>
      </c>
      <c r="M723" s="3"/>
      <c r="N723" s="3" t="str">
        <f t="shared" si="47"/>
        <v>Maybe</v>
      </c>
      <c r="P723" t="b">
        <f t="shared" si="48"/>
        <v>0</v>
      </c>
    </row>
    <row r="724" spans="1:16" x14ac:dyDescent="0.25">
      <c r="A724">
        <v>723</v>
      </c>
      <c r="B724" t="s">
        <v>2023</v>
      </c>
      <c r="C724">
        <v>-1944</v>
      </c>
      <c r="D724" t="s">
        <v>74</v>
      </c>
      <c r="E724" t="s">
        <v>613</v>
      </c>
      <c r="F724" t="s">
        <v>2024</v>
      </c>
      <c r="G724">
        <v>7.8</v>
      </c>
      <c r="H724">
        <v>90</v>
      </c>
      <c r="I724" t="s">
        <v>1348</v>
      </c>
      <c r="J724" s="3">
        <v>34423</v>
      </c>
      <c r="K724" s="3" t="str">
        <f t="shared" si="49"/>
        <v>Don't Watch</v>
      </c>
      <c r="L724" s="3" t="str">
        <f t="shared" si="46"/>
        <v>Don't Watch</v>
      </c>
      <c r="M724" s="3"/>
      <c r="N724" s="3" t="str">
        <f t="shared" si="47"/>
        <v>Maybe</v>
      </c>
      <c r="P724" t="b">
        <f t="shared" si="48"/>
        <v>0</v>
      </c>
    </row>
    <row r="725" spans="1:16" x14ac:dyDescent="0.25">
      <c r="A725">
        <v>724</v>
      </c>
      <c r="B725" t="s">
        <v>2025</v>
      </c>
      <c r="C725">
        <v>-1944</v>
      </c>
      <c r="D725" t="s">
        <v>155</v>
      </c>
      <c r="E725" t="s">
        <v>655</v>
      </c>
      <c r="F725" t="s">
        <v>56</v>
      </c>
      <c r="G725">
        <v>7.8</v>
      </c>
      <c r="I725" t="s">
        <v>1686</v>
      </c>
      <c r="J725" s="3">
        <v>28489</v>
      </c>
      <c r="K725" s="3" t="str">
        <f t="shared" si="49"/>
        <v>Don't Watch</v>
      </c>
      <c r="L725" s="3" t="str">
        <f t="shared" si="46"/>
        <v>Don't Watch</v>
      </c>
      <c r="M725" s="3"/>
      <c r="N725" s="3" t="str">
        <f t="shared" si="47"/>
        <v>Maybe</v>
      </c>
      <c r="P725" t="b">
        <f t="shared" si="48"/>
        <v>0</v>
      </c>
    </row>
    <row r="726" spans="1:16" x14ac:dyDescent="0.25">
      <c r="A726">
        <v>725</v>
      </c>
      <c r="B726" t="s">
        <v>2026</v>
      </c>
      <c r="C726">
        <v>-1943</v>
      </c>
      <c r="D726" t="s">
        <v>155</v>
      </c>
      <c r="E726" t="s">
        <v>409</v>
      </c>
      <c r="F726" t="s">
        <v>2027</v>
      </c>
      <c r="G726">
        <v>7.8</v>
      </c>
      <c r="H726">
        <v>94</v>
      </c>
      <c r="I726" t="s">
        <v>243</v>
      </c>
      <c r="J726" s="3">
        <v>64919</v>
      </c>
      <c r="K726" s="3" t="str">
        <f t="shared" si="49"/>
        <v>Don't Watch</v>
      </c>
      <c r="L726" s="3" t="str">
        <f t="shared" si="46"/>
        <v>Don't Watch</v>
      </c>
      <c r="M726" s="3"/>
      <c r="N726" s="3" t="str">
        <f t="shared" si="47"/>
        <v>Maybe</v>
      </c>
      <c r="P726" t="b">
        <f t="shared" si="48"/>
        <v>0</v>
      </c>
    </row>
    <row r="727" spans="1:16" x14ac:dyDescent="0.25">
      <c r="A727">
        <v>726</v>
      </c>
      <c r="B727" t="s">
        <v>2028</v>
      </c>
      <c r="C727">
        <v>-1940</v>
      </c>
      <c r="D727" t="s">
        <v>155</v>
      </c>
      <c r="E727" t="s">
        <v>827</v>
      </c>
      <c r="F727" t="s">
        <v>132</v>
      </c>
      <c r="G727">
        <v>7.8</v>
      </c>
      <c r="I727" t="s">
        <v>1348</v>
      </c>
      <c r="J727" s="3">
        <v>58208</v>
      </c>
      <c r="K727" s="3" t="str">
        <f t="shared" si="49"/>
        <v>Don't Watch</v>
      </c>
      <c r="L727" s="3" t="str">
        <f t="shared" si="46"/>
        <v>Don't Watch</v>
      </c>
      <c r="M727" s="3"/>
      <c r="N727" s="3" t="str">
        <f t="shared" si="47"/>
        <v>Maybe</v>
      </c>
      <c r="O727" t="s">
        <v>869</v>
      </c>
      <c r="P727" t="b">
        <f t="shared" si="48"/>
        <v>0</v>
      </c>
    </row>
    <row r="728" spans="1:16" x14ac:dyDescent="0.25">
      <c r="A728">
        <v>727</v>
      </c>
      <c r="B728" t="s">
        <v>2029</v>
      </c>
      <c r="C728">
        <v>-1939</v>
      </c>
      <c r="D728" t="s">
        <v>49</v>
      </c>
      <c r="E728" t="s">
        <v>50</v>
      </c>
      <c r="F728" t="s">
        <v>697</v>
      </c>
      <c r="G728">
        <v>7.8</v>
      </c>
      <c r="H728">
        <v>93</v>
      </c>
      <c r="I728" t="s">
        <v>998</v>
      </c>
      <c r="J728" s="3">
        <v>48534</v>
      </c>
      <c r="K728" s="3" t="str">
        <f t="shared" si="49"/>
        <v>Don't Watch</v>
      </c>
      <c r="L728" s="3" t="str">
        <f t="shared" si="46"/>
        <v>Don't Watch</v>
      </c>
      <c r="M728" s="3"/>
      <c r="N728" s="3" t="str">
        <f t="shared" si="47"/>
        <v>Watch</v>
      </c>
      <c r="P728" t="b">
        <f t="shared" si="48"/>
        <v>0</v>
      </c>
    </row>
    <row r="729" spans="1:16" x14ac:dyDescent="0.25">
      <c r="A729">
        <v>728</v>
      </c>
      <c r="B729" t="s">
        <v>2030</v>
      </c>
      <c r="C729">
        <v>-1938</v>
      </c>
      <c r="D729" t="s">
        <v>49</v>
      </c>
      <c r="E729" t="s">
        <v>263</v>
      </c>
      <c r="F729" t="s">
        <v>132</v>
      </c>
      <c r="G729">
        <v>7.8</v>
      </c>
      <c r="I729" t="s">
        <v>161</v>
      </c>
      <c r="J729" s="3">
        <v>25690</v>
      </c>
      <c r="K729" s="3" t="str">
        <f t="shared" si="49"/>
        <v>Don't Watch</v>
      </c>
      <c r="L729" s="3" t="str">
        <f t="shared" si="46"/>
        <v>Don't Watch</v>
      </c>
      <c r="M729" s="3"/>
      <c r="N729" s="3" t="str">
        <f t="shared" si="47"/>
        <v>Maybe</v>
      </c>
      <c r="O729" t="s">
        <v>2031</v>
      </c>
      <c r="P729" t="b">
        <f t="shared" si="48"/>
        <v>0</v>
      </c>
    </row>
    <row r="730" spans="1:16" x14ac:dyDescent="0.25">
      <c r="A730">
        <v>729</v>
      </c>
      <c r="B730" t="s">
        <v>2032</v>
      </c>
      <c r="C730">
        <v>-1938</v>
      </c>
      <c r="D730" t="s">
        <v>155</v>
      </c>
      <c r="E730" t="s">
        <v>50</v>
      </c>
      <c r="F730" t="s">
        <v>246</v>
      </c>
      <c r="G730">
        <v>7.8</v>
      </c>
      <c r="H730">
        <v>98</v>
      </c>
      <c r="I730" t="s">
        <v>243</v>
      </c>
      <c r="J730" s="3">
        <v>52179</v>
      </c>
      <c r="K730" s="3" t="str">
        <f t="shared" si="49"/>
        <v>Don't Watch</v>
      </c>
      <c r="L730" s="3" t="str">
        <f t="shared" si="46"/>
        <v>Don't Watch</v>
      </c>
      <c r="M730" s="3"/>
      <c r="N730" s="3" t="str">
        <f t="shared" si="47"/>
        <v>Maybe</v>
      </c>
      <c r="P730" t="b">
        <f t="shared" si="48"/>
        <v>0</v>
      </c>
    </row>
    <row r="731" spans="1:16" x14ac:dyDescent="0.25">
      <c r="A731">
        <v>730</v>
      </c>
      <c r="B731" t="s">
        <v>2033</v>
      </c>
      <c r="C731">
        <v>-1938</v>
      </c>
      <c r="E731" t="s">
        <v>249</v>
      </c>
      <c r="F731" t="s">
        <v>1287</v>
      </c>
      <c r="G731">
        <v>7.8</v>
      </c>
      <c r="H731">
        <v>91</v>
      </c>
      <c r="I731" t="s">
        <v>1348</v>
      </c>
      <c r="J731" s="3">
        <v>61077</v>
      </c>
      <c r="K731" s="3" t="str">
        <f t="shared" si="49"/>
        <v>Don't Watch</v>
      </c>
      <c r="L731" s="3" t="str">
        <f t="shared" si="46"/>
        <v>Don't Watch</v>
      </c>
      <c r="M731" s="3"/>
      <c r="N731" s="3" t="str">
        <f t="shared" si="47"/>
        <v>Maybe</v>
      </c>
      <c r="P731" t="b">
        <f t="shared" si="48"/>
        <v>0</v>
      </c>
    </row>
    <row r="732" spans="1:16" x14ac:dyDescent="0.25">
      <c r="A732">
        <v>731</v>
      </c>
      <c r="B732" t="s">
        <v>2034</v>
      </c>
      <c r="C732">
        <v>-1935</v>
      </c>
      <c r="D732" t="s">
        <v>49</v>
      </c>
      <c r="E732" t="s">
        <v>50</v>
      </c>
      <c r="F732" t="s">
        <v>2035</v>
      </c>
      <c r="G732">
        <v>7.8</v>
      </c>
      <c r="I732" t="s">
        <v>2036</v>
      </c>
      <c r="J732" s="3">
        <v>32782</v>
      </c>
      <c r="K732" s="3" t="str">
        <f t="shared" si="49"/>
        <v>Don't Watch</v>
      </c>
      <c r="L732" s="3" t="str">
        <f t="shared" si="46"/>
        <v>Don't Watch</v>
      </c>
      <c r="M732" s="3"/>
      <c r="N732" s="3" t="str">
        <f t="shared" si="47"/>
        <v>Maybe</v>
      </c>
      <c r="O732" t="s">
        <v>2037</v>
      </c>
      <c r="P732" t="b">
        <f t="shared" si="48"/>
        <v>0</v>
      </c>
    </row>
    <row r="733" spans="1:16" x14ac:dyDescent="0.25">
      <c r="A733">
        <v>732</v>
      </c>
      <c r="B733" t="s">
        <v>2038</v>
      </c>
      <c r="C733">
        <v>-1935</v>
      </c>
      <c r="D733" t="s">
        <v>155</v>
      </c>
      <c r="E733" t="s">
        <v>1381</v>
      </c>
      <c r="F733" t="s">
        <v>2039</v>
      </c>
      <c r="G733">
        <v>7.8</v>
      </c>
      <c r="H733">
        <v>95</v>
      </c>
      <c r="I733" t="s">
        <v>2040</v>
      </c>
      <c r="J733" s="3">
        <v>47707</v>
      </c>
      <c r="K733" s="3" t="str">
        <f t="shared" si="49"/>
        <v>Don't Watch</v>
      </c>
      <c r="L733" s="3" t="str">
        <f t="shared" si="46"/>
        <v>Don't Watch</v>
      </c>
      <c r="M733" s="3"/>
      <c r="N733" s="3" t="str">
        <f t="shared" si="47"/>
        <v>Maybe</v>
      </c>
      <c r="O733" t="s">
        <v>52</v>
      </c>
      <c r="P733" t="b">
        <f t="shared" si="48"/>
        <v>0</v>
      </c>
    </row>
    <row r="734" spans="1:16" x14ac:dyDescent="0.25">
      <c r="A734">
        <v>733</v>
      </c>
      <c r="B734" t="s">
        <v>2041</v>
      </c>
      <c r="C734">
        <v>-1933</v>
      </c>
      <c r="D734" t="s">
        <v>49</v>
      </c>
      <c r="E734" t="s">
        <v>2042</v>
      </c>
      <c r="F734" t="s">
        <v>2043</v>
      </c>
      <c r="G734">
        <v>7.8</v>
      </c>
      <c r="H734">
        <v>93</v>
      </c>
      <c r="I734" t="s">
        <v>2044</v>
      </c>
      <c r="J734" s="3">
        <v>59875</v>
      </c>
      <c r="K734" s="3" t="str">
        <f t="shared" si="49"/>
        <v>Don't Watch</v>
      </c>
      <c r="L734" s="3" t="str">
        <f t="shared" si="46"/>
        <v>Don't Watch</v>
      </c>
      <c r="M734" s="3"/>
      <c r="N734" s="3" t="str">
        <f t="shared" si="47"/>
        <v>Maybe</v>
      </c>
      <c r="P734" t="b">
        <f t="shared" si="48"/>
        <v>0</v>
      </c>
    </row>
    <row r="735" spans="1:16" x14ac:dyDescent="0.25">
      <c r="A735">
        <v>734</v>
      </c>
      <c r="B735" t="s">
        <v>2045</v>
      </c>
      <c r="C735">
        <v>-1931</v>
      </c>
      <c r="D735" t="s">
        <v>74</v>
      </c>
      <c r="E735" t="s">
        <v>2046</v>
      </c>
      <c r="F735" t="s">
        <v>2039</v>
      </c>
      <c r="G735">
        <v>7.8</v>
      </c>
      <c r="H735">
        <v>91</v>
      </c>
      <c r="I735" t="s">
        <v>2040</v>
      </c>
      <c r="J735" s="3">
        <v>71415</v>
      </c>
      <c r="K735" s="3" t="str">
        <f t="shared" si="49"/>
        <v>Don't Watch</v>
      </c>
      <c r="L735" s="3" t="str">
        <f t="shared" si="46"/>
        <v>Don't Watch</v>
      </c>
      <c r="M735" s="3"/>
      <c r="N735" s="3" t="str">
        <f t="shared" si="47"/>
        <v>Maybe</v>
      </c>
      <c r="P735" t="b">
        <f t="shared" si="48"/>
        <v>0</v>
      </c>
    </row>
    <row r="736" spans="1:16" x14ac:dyDescent="0.25">
      <c r="A736">
        <v>735</v>
      </c>
      <c r="B736" t="s">
        <v>2047</v>
      </c>
      <c r="C736">
        <v>-2018</v>
      </c>
      <c r="D736">
        <v>15</v>
      </c>
      <c r="E736" t="s">
        <v>309</v>
      </c>
      <c r="F736" t="s">
        <v>20</v>
      </c>
      <c r="G736">
        <v>7.7</v>
      </c>
      <c r="H736">
        <v>96</v>
      </c>
      <c r="I736" t="s">
        <v>1511</v>
      </c>
      <c r="J736" s="3">
        <v>155549</v>
      </c>
      <c r="K736" s="3" t="str">
        <f t="shared" si="49"/>
        <v>Don't Watch</v>
      </c>
      <c r="L736" s="3" t="str">
        <f t="shared" si="46"/>
        <v>Don't Watch</v>
      </c>
      <c r="M736" s="3"/>
      <c r="N736" s="3" t="str">
        <f t="shared" si="47"/>
        <v>Maybe</v>
      </c>
      <c r="P736" t="b">
        <f t="shared" si="48"/>
        <v>0</v>
      </c>
    </row>
    <row r="737" spans="1:16" x14ac:dyDescent="0.25">
      <c r="A737">
        <v>736</v>
      </c>
      <c r="B737" t="s">
        <v>2048</v>
      </c>
      <c r="C737">
        <v>-2018</v>
      </c>
      <c r="D737">
        <v>15</v>
      </c>
      <c r="E737" t="s">
        <v>202</v>
      </c>
      <c r="F737" t="s">
        <v>371</v>
      </c>
      <c r="G737">
        <v>7.7</v>
      </c>
      <c r="H737">
        <v>66</v>
      </c>
      <c r="I737" t="s">
        <v>2049</v>
      </c>
      <c r="J737" s="3">
        <v>559462</v>
      </c>
      <c r="K737" s="3" t="str">
        <f t="shared" si="49"/>
        <v>Don't Watch</v>
      </c>
      <c r="L737" s="3" t="str">
        <f t="shared" si="46"/>
        <v>Don't Watch</v>
      </c>
      <c r="M737" s="3"/>
      <c r="N737" s="3" t="str">
        <f t="shared" si="47"/>
        <v>Maybe</v>
      </c>
      <c r="O737" t="s">
        <v>2050</v>
      </c>
      <c r="P737" t="b">
        <f t="shared" si="48"/>
        <v>0</v>
      </c>
    </row>
    <row r="738" spans="1:16" x14ac:dyDescent="0.25">
      <c r="A738">
        <v>737</v>
      </c>
      <c r="B738" t="s">
        <v>2051</v>
      </c>
      <c r="C738">
        <v>-2019</v>
      </c>
      <c r="D738">
        <v>15</v>
      </c>
      <c r="E738" t="s">
        <v>811</v>
      </c>
      <c r="F738" t="s">
        <v>172</v>
      </c>
      <c r="G738">
        <v>7.7</v>
      </c>
      <c r="H738">
        <v>82</v>
      </c>
      <c r="I738" t="s">
        <v>2052</v>
      </c>
      <c r="J738" s="3">
        <v>120732</v>
      </c>
      <c r="K738" s="3" t="str">
        <f t="shared" si="49"/>
        <v>Don't Watch</v>
      </c>
      <c r="L738" s="3" t="str">
        <f t="shared" si="46"/>
        <v>Don't Watch</v>
      </c>
      <c r="M738" s="3"/>
      <c r="N738" s="3" t="str">
        <f t="shared" si="47"/>
        <v>Maybe</v>
      </c>
      <c r="P738" t="b">
        <f t="shared" si="48"/>
        <v>0</v>
      </c>
    </row>
    <row r="739" spans="1:16" x14ac:dyDescent="0.25">
      <c r="A739">
        <v>738</v>
      </c>
      <c r="B739" t="s">
        <v>2053</v>
      </c>
      <c r="C739">
        <v>-2017</v>
      </c>
      <c r="D739">
        <v>15</v>
      </c>
      <c r="E739" t="s">
        <v>493</v>
      </c>
      <c r="F739" t="s">
        <v>56</v>
      </c>
      <c r="G739">
        <v>7.7</v>
      </c>
      <c r="H739">
        <v>73</v>
      </c>
      <c r="I739" t="s">
        <v>2054</v>
      </c>
      <c r="J739" s="3">
        <v>245344</v>
      </c>
      <c r="K739" s="3" t="str">
        <f t="shared" si="49"/>
        <v>Don't Watch</v>
      </c>
      <c r="L739" s="3" t="str">
        <f t="shared" si="46"/>
        <v>Don't Watch</v>
      </c>
      <c r="M739" s="3"/>
      <c r="N739" s="3" t="str">
        <f t="shared" si="47"/>
        <v>Maybe</v>
      </c>
      <c r="O739" t="s">
        <v>2055</v>
      </c>
      <c r="P739" t="b">
        <f t="shared" si="48"/>
        <v>0</v>
      </c>
    </row>
    <row r="740" spans="1:16" x14ac:dyDescent="0.25">
      <c r="A740">
        <v>739</v>
      </c>
      <c r="B740" t="s">
        <v>2056</v>
      </c>
      <c r="C740">
        <v>-2016</v>
      </c>
      <c r="D740">
        <v>12</v>
      </c>
      <c r="E740" t="s">
        <v>99</v>
      </c>
      <c r="F740" t="s">
        <v>20</v>
      </c>
      <c r="G740">
        <v>7.7</v>
      </c>
      <c r="H740">
        <v>85</v>
      </c>
      <c r="I740" t="s">
        <v>385</v>
      </c>
      <c r="J740" s="3">
        <v>60009</v>
      </c>
      <c r="K740" s="3" t="str">
        <f t="shared" si="49"/>
        <v>Don't Watch</v>
      </c>
      <c r="L740" s="3" t="str">
        <f t="shared" si="46"/>
        <v>Don't Watch</v>
      </c>
      <c r="M740" s="3"/>
      <c r="N740" s="3" t="str">
        <f t="shared" si="47"/>
        <v>Maybe</v>
      </c>
      <c r="O740" t="s">
        <v>2057</v>
      </c>
      <c r="P740" t="b">
        <f t="shared" si="48"/>
        <v>0</v>
      </c>
    </row>
    <row r="741" spans="1:16" x14ac:dyDescent="0.25">
      <c r="A741">
        <v>740</v>
      </c>
      <c r="B741" t="s">
        <v>2058</v>
      </c>
      <c r="C741" t="s">
        <v>290</v>
      </c>
      <c r="D741">
        <v>15</v>
      </c>
      <c r="E741" t="s">
        <v>418</v>
      </c>
      <c r="F741" t="s">
        <v>242</v>
      </c>
      <c r="G741">
        <v>7.7</v>
      </c>
      <c r="H741">
        <v>85</v>
      </c>
      <c r="I741" t="s">
        <v>2059</v>
      </c>
      <c r="J741" s="3">
        <v>566365</v>
      </c>
      <c r="K741" s="3" t="str">
        <f t="shared" si="49"/>
        <v>Don't Watch</v>
      </c>
      <c r="L741" s="3" t="str">
        <f t="shared" si="46"/>
        <v>Don't Watch</v>
      </c>
      <c r="M741" s="3"/>
      <c r="N741" s="3" t="str">
        <f t="shared" si="47"/>
        <v>Maybe</v>
      </c>
      <c r="O741" t="s">
        <v>2060</v>
      </c>
      <c r="P741" t="b">
        <f t="shared" si="48"/>
        <v>0</v>
      </c>
    </row>
    <row r="742" spans="1:16" x14ac:dyDescent="0.25">
      <c r="A742">
        <v>741</v>
      </c>
      <c r="B742" t="s">
        <v>2061</v>
      </c>
      <c r="C742">
        <v>-2018</v>
      </c>
      <c r="D742" t="s">
        <v>30</v>
      </c>
      <c r="E742" t="s">
        <v>228</v>
      </c>
      <c r="F742" t="s">
        <v>1171</v>
      </c>
      <c r="G742">
        <v>7.7</v>
      </c>
      <c r="H742">
        <v>86</v>
      </c>
      <c r="I742" t="s">
        <v>2062</v>
      </c>
      <c r="J742" s="3">
        <v>324688</v>
      </c>
      <c r="K742" s="3" t="str">
        <f t="shared" si="49"/>
        <v>Don't Watch</v>
      </c>
      <c r="L742" s="3" t="str">
        <f t="shared" si="46"/>
        <v>Don't Watch</v>
      </c>
      <c r="M742" s="3"/>
      <c r="N742" s="3" t="str">
        <f t="shared" si="47"/>
        <v>Maybe</v>
      </c>
      <c r="O742" t="s">
        <v>2063</v>
      </c>
      <c r="P742" t="b">
        <f t="shared" si="48"/>
        <v>0</v>
      </c>
    </row>
    <row r="743" spans="1:16" x14ac:dyDescent="0.25">
      <c r="A743">
        <v>742</v>
      </c>
      <c r="B743" t="s">
        <v>2064</v>
      </c>
      <c r="C743">
        <v>-2016</v>
      </c>
      <c r="E743" t="s">
        <v>50</v>
      </c>
      <c r="F743" t="s">
        <v>304</v>
      </c>
      <c r="G743">
        <v>7.7</v>
      </c>
      <c r="I743" t="s">
        <v>2065</v>
      </c>
      <c r="J743" s="3">
        <v>64462</v>
      </c>
      <c r="K743" s="3" t="str">
        <f t="shared" si="49"/>
        <v>Don't Watch</v>
      </c>
      <c r="L743" s="3" t="str">
        <f t="shared" si="46"/>
        <v>Don't Watch</v>
      </c>
      <c r="M743" s="3"/>
      <c r="N743" s="3" t="str">
        <f t="shared" si="47"/>
        <v>Maybe</v>
      </c>
      <c r="P743" t="b">
        <f t="shared" si="48"/>
        <v>0</v>
      </c>
    </row>
    <row r="744" spans="1:16" x14ac:dyDescent="0.25">
      <c r="A744">
        <v>743</v>
      </c>
      <c r="B744" t="s">
        <v>2066</v>
      </c>
      <c r="C744">
        <v>-2016</v>
      </c>
      <c r="D744">
        <v>15</v>
      </c>
      <c r="E744" t="s">
        <v>63</v>
      </c>
      <c r="F744" t="s">
        <v>32</v>
      </c>
      <c r="G744">
        <v>7.7</v>
      </c>
      <c r="I744" t="s">
        <v>2067</v>
      </c>
      <c r="J744" s="3">
        <v>30232</v>
      </c>
      <c r="K744" s="3" t="str">
        <f t="shared" si="49"/>
        <v>Don't Watch</v>
      </c>
      <c r="L744" s="3" t="str">
        <f t="shared" si="46"/>
        <v>Don't Watch</v>
      </c>
      <c r="M744" s="3"/>
      <c r="N744" s="3" t="str">
        <f t="shared" si="47"/>
        <v>Maybe</v>
      </c>
      <c r="P744" t="b">
        <f t="shared" si="48"/>
        <v>0</v>
      </c>
    </row>
    <row r="745" spans="1:16" x14ac:dyDescent="0.25">
      <c r="A745">
        <v>744</v>
      </c>
      <c r="B745" t="s">
        <v>2068</v>
      </c>
      <c r="C745">
        <v>-2016</v>
      </c>
      <c r="D745" t="s">
        <v>74</v>
      </c>
      <c r="E745" t="s">
        <v>321</v>
      </c>
      <c r="F745" t="s">
        <v>279</v>
      </c>
      <c r="G745">
        <v>7.7</v>
      </c>
      <c r="H745">
        <v>84</v>
      </c>
      <c r="I745" t="s">
        <v>2069</v>
      </c>
      <c r="J745" s="3">
        <v>127742</v>
      </c>
      <c r="K745" s="3" t="str">
        <f t="shared" si="49"/>
        <v>Don't Watch</v>
      </c>
      <c r="L745" s="3" t="str">
        <f t="shared" si="46"/>
        <v>Don't Watch</v>
      </c>
      <c r="M745" s="3"/>
      <c r="N745" s="3" t="str">
        <f t="shared" si="47"/>
        <v>Maybe</v>
      </c>
      <c r="O745" t="s">
        <v>2070</v>
      </c>
      <c r="P745" t="b">
        <f t="shared" si="48"/>
        <v>0</v>
      </c>
    </row>
    <row r="746" spans="1:16" x14ac:dyDescent="0.25">
      <c r="A746">
        <v>745</v>
      </c>
      <c r="B746" t="s">
        <v>2071</v>
      </c>
      <c r="C746">
        <v>-2015</v>
      </c>
      <c r="D746">
        <v>15</v>
      </c>
      <c r="E746" t="s">
        <v>131</v>
      </c>
      <c r="F746" t="s">
        <v>132</v>
      </c>
      <c r="G746">
        <v>7.7</v>
      </c>
      <c r="H746">
        <v>70</v>
      </c>
      <c r="I746" t="s">
        <v>2072</v>
      </c>
      <c r="J746" s="3">
        <v>54149</v>
      </c>
      <c r="K746" s="3" t="str">
        <f t="shared" si="49"/>
        <v>Don't Watch</v>
      </c>
      <c r="L746" s="3" t="str">
        <f t="shared" si="46"/>
        <v>Don't Watch</v>
      </c>
      <c r="M746" s="3"/>
      <c r="N746" s="3" t="str">
        <f t="shared" si="47"/>
        <v>Maybe</v>
      </c>
      <c r="O746" t="s">
        <v>2073</v>
      </c>
      <c r="P746" t="b">
        <f t="shared" si="48"/>
        <v>0</v>
      </c>
    </row>
    <row r="747" spans="1:16" x14ac:dyDescent="0.25">
      <c r="A747">
        <v>746</v>
      </c>
      <c r="B747" t="s">
        <v>2074</v>
      </c>
      <c r="C747">
        <v>-2014</v>
      </c>
      <c r="D747" t="s">
        <v>49</v>
      </c>
      <c r="E747" t="s">
        <v>403</v>
      </c>
      <c r="F747" t="s">
        <v>779</v>
      </c>
      <c r="G747">
        <v>7.7</v>
      </c>
      <c r="H747">
        <v>72</v>
      </c>
      <c r="I747" t="s">
        <v>2075</v>
      </c>
      <c r="J747" s="3">
        <v>39662</v>
      </c>
      <c r="K747" s="3" t="str">
        <f t="shared" si="49"/>
        <v>Don't Watch</v>
      </c>
      <c r="L747" s="3" t="str">
        <f t="shared" si="46"/>
        <v>Don't Watch</v>
      </c>
      <c r="M747" s="3"/>
      <c r="N747" s="3" t="str">
        <f t="shared" si="47"/>
        <v>Maybe</v>
      </c>
      <c r="O747" t="s">
        <v>2076</v>
      </c>
      <c r="P747" t="b">
        <f t="shared" si="48"/>
        <v>0</v>
      </c>
    </row>
    <row r="748" spans="1:16" x14ac:dyDescent="0.25">
      <c r="A748">
        <v>747</v>
      </c>
      <c r="B748" t="s">
        <v>2077</v>
      </c>
      <c r="C748">
        <v>-2014</v>
      </c>
      <c r="D748" t="s">
        <v>30</v>
      </c>
      <c r="E748" t="s">
        <v>384</v>
      </c>
      <c r="F748" t="s">
        <v>1184</v>
      </c>
      <c r="G748">
        <v>7.7</v>
      </c>
      <c r="H748">
        <v>71</v>
      </c>
      <c r="I748" t="s">
        <v>2078</v>
      </c>
      <c r="J748" s="3">
        <v>442680</v>
      </c>
      <c r="K748" s="3" t="str">
        <f t="shared" si="49"/>
        <v>Don't Watch</v>
      </c>
      <c r="L748" s="3" t="str">
        <f t="shared" si="46"/>
        <v>Don't Watch</v>
      </c>
      <c r="M748" s="3"/>
      <c r="N748" s="3" t="str">
        <f t="shared" si="47"/>
        <v>Maybe</v>
      </c>
      <c r="O748" t="s">
        <v>2079</v>
      </c>
      <c r="P748" t="b">
        <f t="shared" si="48"/>
        <v>0</v>
      </c>
    </row>
    <row r="749" spans="1:16" x14ac:dyDescent="0.25">
      <c r="A749">
        <v>748</v>
      </c>
      <c r="B749" t="s">
        <v>2080</v>
      </c>
      <c r="C749">
        <v>-2014</v>
      </c>
      <c r="D749">
        <v>15</v>
      </c>
      <c r="E749" t="s">
        <v>452</v>
      </c>
      <c r="F749" t="s">
        <v>371</v>
      </c>
      <c r="G749">
        <v>7.7</v>
      </c>
      <c r="H749">
        <v>60</v>
      </c>
      <c r="I749" t="s">
        <v>2081</v>
      </c>
      <c r="J749" s="3">
        <v>655599</v>
      </c>
      <c r="K749" s="3" t="str">
        <f t="shared" si="49"/>
        <v>Don't Watch</v>
      </c>
      <c r="L749" s="3" t="str">
        <f t="shared" si="46"/>
        <v>Don't Watch</v>
      </c>
      <c r="M749" s="3"/>
      <c r="N749" s="3" t="str">
        <f t="shared" si="47"/>
        <v>Maybe</v>
      </c>
      <c r="O749" t="s">
        <v>2082</v>
      </c>
      <c r="P749" t="b">
        <f t="shared" si="48"/>
        <v>0</v>
      </c>
    </row>
    <row r="750" spans="1:16" x14ac:dyDescent="0.25">
      <c r="A750">
        <v>749</v>
      </c>
      <c r="B750" t="s">
        <v>2083</v>
      </c>
      <c r="C750">
        <v>-2014</v>
      </c>
      <c r="D750" t="s">
        <v>30</v>
      </c>
      <c r="E750" t="s">
        <v>263</v>
      </c>
      <c r="F750" t="s">
        <v>78</v>
      </c>
      <c r="G750">
        <v>7.7</v>
      </c>
      <c r="H750">
        <v>69</v>
      </c>
      <c r="I750" t="s">
        <v>2084</v>
      </c>
      <c r="J750" s="3">
        <v>370751</v>
      </c>
      <c r="K750" s="3" t="str">
        <f t="shared" si="49"/>
        <v>Don't Watch</v>
      </c>
      <c r="L750" s="3" t="str">
        <f t="shared" si="46"/>
        <v>Don't Watch</v>
      </c>
      <c r="M750" s="3"/>
      <c r="N750" s="3" t="str">
        <f t="shared" si="47"/>
        <v>Maybe</v>
      </c>
      <c r="O750" t="s">
        <v>2085</v>
      </c>
      <c r="P750" t="b">
        <f t="shared" si="48"/>
        <v>0</v>
      </c>
    </row>
    <row r="751" spans="1:16" x14ac:dyDescent="0.25">
      <c r="A751">
        <v>750</v>
      </c>
      <c r="B751" t="s">
        <v>2086</v>
      </c>
      <c r="C751">
        <v>-2015</v>
      </c>
      <c r="D751" t="s">
        <v>30</v>
      </c>
      <c r="E751" t="s">
        <v>291</v>
      </c>
      <c r="F751" t="s">
        <v>304</v>
      </c>
      <c r="G751">
        <v>7.7</v>
      </c>
      <c r="H751">
        <v>74</v>
      </c>
      <c r="I751" t="s">
        <v>2087</v>
      </c>
      <c r="J751" s="3">
        <v>130663</v>
      </c>
      <c r="K751" s="3" t="str">
        <f t="shared" si="49"/>
        <v>Don't Watch</v>
      </c>
      <c r="L751" s="3" t="str">
        <f t="shared" si="46"/>
        <v>Don't Watch</v>
      </c>
      <c r="M751" s="3"/>
      <c r="N751" s="3" t="str">
        <f t="shared" si="47"/>
        <v>Maybe</v>
      </c>
      <c r="O751" t="s">
        <v>1087</v>
      </c>
      <c r="P751" t="b">
        <f t="shared" si="48"/>
        <v>0</v>
      </c>
    </row>
    <row r="752" spans="1:16" x14ac:dyDescent="0.25">
      <c r="A752">
        <v>751</v>
      </c>
      <c r="B752" t="s">
        <v>2088</v>
      </c>
      <c r="C752">
        <v>-2014</v>
      </c>
      <c r="D752">
        <v>15</v>
      </c>
      <c r="E752" t="s">
        <v>202</v>
      </c>
      <c r="F752" t="s">
        <v>304</v>
      </c>
      <c r="G752">
        <v>7.7</v>
      </c>
      <c r="H752">
        <v>87</v>
      </c>
      <c r="I752" t="s">
        <v>875</v>
      </c>
      <c r="J752" s="3">
        <v>620596</v>
      </c>
      <c r="K752" s="3" t="str">
        <f t="shared" si="49"/>
        <v>Don't Watch</v>
      </c>
      <c r="L752" s="3" t="str">
        <f t="shared" si="46"/>
        <v>Don't Watch</v>
      </c>
      <c r="M752" s="3"/>
      <c r="N752" s="3" t="str">
        <f t="shared" si="47"/>
        <v>Maybe</v>
      </c>
      <c r="O752" t="s">
        <v>2089</v>
      </c>
      <c r="P752" t="b">
        <f t="shared" si="48"/>
        <v>0</v>
      </c>
    </row>
    <row r="753" spans="1:16" x14ac:dyDescent="0.25">
      <c r="A753">
        <v>752</v>
      </c>
      <c r="B753" t="s">
        <v>2090</v>
      </c>
      <c r="C753">
        <v>-2013</v>
      </c>
      <c r="D753" t="s">
        <v>30</v>
      </c>
      <c r="E753" t="s">
        <v>108</v>
      </c>
      <c r="F753" t="s">
        <v>389</v>
      </c>
      <c r="G753">
        <v>7.7</v>
      </c>
      <c r="H753">
        <v>85</v>
      </c>
      <c r="I753" t="s">
        <v>385</v>
      </c>
      <c r="J753" s="3">
        <v>48729</v>
      </c>
      <c r="K753" s="3" t="str">
        <f t="shared" si="49"/>
        <v>Don't Watch</v>
      </c>
      <c r="L753" s="3" t="str">
        <f t="shared" si="46"/>
        <v>Don't Watch</v>
      </c>
      <c r="M753" s="3"/>
      <c r="N753" s="3" t="str">
        <f t="shared" si="47"/>
        <v>Maybe</v>
      </c>
      <c r="O753" t="s">
        <v>2091</v>
      </c>
      <c r="P753" t="b">
        <f t="shared" si="48"/>
        <v>0</v>
      </c>
    </row>
    <row r="754" spans="1:16" x14ac:dyDescent="0.25">
      <c r="A754">
        <v>753</v>
      </c>
      <c r="B754" t="s">
        <v>2092</v>
      </c>
      <c r="C754">
        <v>-2013</v>
      </c>
      <c r="D754">
        <v>15</v>
      </c>
      <c r="E754" t="s">
        <v>163</v>
      </c>
      <c r="F754" t="s">
        <v>20</v>
      </c>
      <c r="G754">
        <v>7.7</v>
      </c>
      <c r="H754">
        <v>86</v>
      </c>
      <c r="I754" t="s">
        <v>2093</v>
      </c>
      <c r="J754" s="3">
        <v>89769</v>
      </c>
      <c r="K754" s="3" t="str">
        <f t="shared" si="49"/>
        <v>Don't Watch</v>
      </c>
      <c r="L754" s="3" t="str">
        <f t="shared" si="46"/>
        <v>Don't Watch</v>
      </c>
      <c r="M754" s="3"/>
      <c r="N754" s="3" t="str">
        <f t="shared" si="47"/>
        <v>Maybe</v>
      </c>
      <c r="O754" t="s">
        <v>2094</v>
      </c>
      <c r="P754" t="b">
        <f t="shared" si="48"/>
        <v>0</v>
      </c>
    </row>
    <row r="755" spans="1:16" x14ac:dyDescent="0.25">
      <c r="A755">
        <v>754</v>
      </c>
      <c r="B755" t="s">
        <v>2095</v>
      </c>
      <c r="C755">
        <v>-2013</v>
      </c>
      <c r="D755">
        <v>18</v>
      </c>
      <c r="E755" t="s">
        <v>579</v>
      </c>
      <c r="F755" t="s">
        <v>78</v>
      </c>
      <c r="G755">
        <v>7.7</v>
      </c>
      <c r="H755">
        <v>89</v>
      </c>
      <c r="I755" t="s">
        <v>2096</v>
      </c>
      <c r="J755" s="3">
        <v>150350</v>
      </c>
      <c r="K755" s="3" t="str">
        <f t="shared" si="49"/>
        <v>Don't Watch</v>
      </c>
      <c r="L755" s="3" t="str">
        <f t="shared" si="46"/>
        <v>Don't Watch</v>
      </c>
      <c r="M755" s="3"/>
      <c r="N755" s="3" t="str">
        <f t="shared" si="47"/>
        <v>Maybe</v>
      </c>
      <c r="O755" t="s">
        <v>840</v>
      </c>
      <c r="P755" t="b">
        <f t="shared" si="48"/>
        <v>0</v>
      </c>
    </row>
    <row r="756" spans="1:16" x14ac:dyDescent="0.25">
      <c r="A756">
        <v>755</v>
      </c>
      <c r="B756" t="s">
        <v>2097</v>
      </c>
      <c r="C756">
        <v>-2012</v>
      </c>
      <c r="D756">
        <v>15</v>
      </c>
      <c r="E756" t="s">
        <v>610</v>
      </c>
      <c r="F756" t="s">
        <v>921</v>
      </c>
      <c r="G756">
        <v>7.7</v>
      </c>
      <c r="H756">
        <v>70</v>
      </c>
      <c r="I756" t="s">
        <v>2098</v>
      </c>
      <c r="J756" s="3">
        <v>41075</v>
      </c>
      <c r="K756" s="3" t="str">
        <f t="shared" si="49"/>
        <v>Don't Watch</v>
      </c>
      <c r="L756" s="3" t="str">
        <f t="shared" si="46"/>
        <v>Don't Watch</v>
      </c>
      <c r="M756" s="3"/>
      <c r="N756" s="3" t="str">
        <f t="shared" si="47"/>
        <v>Maybe</v>
      </c>
      <c r="O756" t="s">
        <v>1299</v>
      </c>
      <c r="P756" t="b">
        <f t="shared" si="48"/>
        <v>0</v>
      </c>
    </row>
    <row r="757" spans="1:16" x14ac:dyDescent="0.25">
      <c r="A757">
        <v>756</v>
      </c>
      <c r="B757" t="s">
        <v>2099</v>
      </c>
      <c r="C757">
        <v>-2013</v>
      </c>
      <c r="D757" t="s">
        <v>74</v>
      </c>
      <c r="E757" t="s">
        <v>263</v>
      </c>
      <c r="F757" t="s">
        <v>1141</v>
      </c>
      <c r="G757">
        <v>7.7</v>
      </c>
      <c r="H757">
        <v>83</v>
      </c>
      <c r="I757" t="s">
        <v>121</v>
      </c>
      <c r="J757" s="3">
        <v>84020</v>
      </c>
      <c r="K757" s="3" t="str">
        <f t="shared" si="49"/>
        <v>Don't Watch</v>
      </c>
      <c r="L757" s="3" t="str">
        <f t="shared" si="46"/>
        <v>Don't Watch</v>
      </c>
      <c r="M757" s="3"/>
      <c r="N757" s="3" t="str">
        <f t="shared" si="47"/>
        <v>Maybe</v>
      </c>
      <c r="O757" t="s">
        <v>2100</v>
      </c>
      <c r="P757" t="b">
        <f t="shared" si="48"/>
        <v>0</v>
      </c>
    </row>
    <row r="758" spans="1:16" x14ac:dyDescent="0.25">
      <c r="A758">
        <v>757</v>
      </c>
      <c r="B758" t="s">
        <v>2101</v>
      </c>
      <c r="C758">
        <v>-2019</v>
      </c>
      <c r="D758" t="s">
        <v>49</v>
      </c>
      <c r="E758" t="s">
        <v>613</v>
      </c>
      <c r="F758" t="s">
        <v>292</v>
      </c>
      <c r="G758">
        <v>7.7</v>
      </c>
      <c r="H758">
        <v>84</v>
      </c>
      <c r="I758" t="s">
        <v>2102</v>
      </c>
      <c r="J758" s="3">
        <v>241422</v>
      </c>
      <c r="K758" s="3" t="str">
        <f t="shared" si="49"/>
        <v>Don't Watch</v>
      </c>
      <c r="L758" s="3" t="str">
        <f t="shared" si="46"/>
        <v>Don't Watch</v>
      </c>
      <c r="M758" s="3"/>
      <c r="N758" s="3" t="str">
        <f t="shared" si="47"/>
        <v>Maybe</v>
      </c>
      <c r="O758" t="s">
        <v>2103</v>
      </c>
      <c r="P758" t="b">
        <f t="shared" si="48"/>
        <v>0</v>
      </c>
    </row>
    <row r="759" spans="1:16" x14ac:dyDescent="0.25">
      <c r="A759">
        <v>758</v>
      </c>
      <c r="B759" t="s">
        <v>2104</v>
      </c>
      <c r="C759">
        <v>-2013</v>
      </c>
      <c r="D759">
        <v>15</v>
      </c>
      <c r="E759" t="s">
        <v>342</v>
      </c>
      <c r="F759" t="s">
        <v>714</v>
      </c>
      <c r="G759">
        <v>7.7</v>
      </c>
      <c r="H759">
        <v>87</v>
      </c>
      <c r="I759" t="s">
        <v>2105</v>
      </c>
      <c r="J759" s="3">
        <v>117664</v>
      </c>
      <c r="K759" s="3" t="str">
        <f t="shared" si="49"/>
        <v>Don't Watch</v>
      </c>
      <c r="L759" s="3" t="str">
        <f t="shared" si="46"/>
        <v>Don't Watch</v>
      </c>
      <c r="M759" s="3"/>
      <c r="N759" s="3" t="str">
        <f t="shared" si="47"/>
        <v>Maybe</v>
      </c>
      <c r="O759" t="s">
        <v>2106</v>
      </c>
      <c r="P759" t="b">
        <f t="shared" si="48"/>
        <v>0</v>
      </c>
    </row>
    <row r="760" spans="1:16" x14ac:dyDescent="0.25">
      <c r="A760">
        <v>759</v>
      </c>
      <c r="B760" t="s">
        <v>2107</v>
      </c>
      <c r="C760">
        <v>-2012</v>
      </c>
      <c r="D760" t="s">
        <v>74</v>
      </c>
      <c r="E760" t="s">
        <v>321</v>
      </c>
      <c r="F760" t="s">
        <v>292</v>
      </c>
      <c r="G760">
        <v>7.7</v>
      </c>
      <c r="H760">
        <v>72</v>
      </c>
      <c r="I760" t="s">
        <v>2108</v>
      </c>
      <c r="J760" s="3">
        <v>414385</v>
      </c>
      <c r="K760" s="3" t="str">
        <f t="shared" si="49"/>
        <v>Don't Watch</v>
      </c>
      <c r="L760" s="3" t="str">
        <f t="shared" si="46"/>
        <v>Don't Watch</v>
      </c>
      <c r="M760" s="3"/>
      <c r="N760" s="3" t="str">
        <f t="shared" si="47"/>
        <v>Maybe</v>
      </c>
      <c r="O760" t="s">
        <v>2109</v>
      </c>
      <c r="P760" t="b">
        <f t="shared" si="48"/>
        <v>0</v>
      </c>
    </row>
    <row r="761" spans="1:16" x14ac:dyDescent="0.25">
      <c r="A761">
        <v>760</v>
      </c>
      <c r="B761" t="s">
        <v>2110</v>
      </c>
      <c r="C761">
        <v>-2015</v>
      </c>
      <c r="D761" t="s">
        <v>74</v>
      </c>
      <c r="E761" t="s">
        <v>409</v>
      </c>
      <c r="F761" t="s">
        <v>214</v>
      </c>
      <c r="G761">
        <v>7.7</v>
      </c>
      <c r="H761">
        <v>70</v>
      </c>
      <c r="I761" t="s">
        <v>2111</v>
      </c>
      <c r="J761" s="3">
        <v>61585</v>
      </c>
      <c r="K761" s="3" t="str">
        <f t="shared" si="49"/>
        <v>Don't Watch</v>
      </c>
      <c r="L761" s="3" t="str">
        <f t="shared" si="46"/>
        <v>Don't Watch</v>
      </c>
      <c r="M761" s="3"/>
      <c r="N761" s="3" t="str">
        <f t="shared" si="47"/>
        <v>Maybe</v>
      </c>
      <c r="O761" t="s">
        <v>2112</v>
      </c>
      <c r="P761" t="b">
        <f t="shared" si="48"/>
        <v>0</v>
      </c>
    </row>
    <row r="762" spans="1:16" x14ac:dyDescent="0.25">
      <c r="A762">
        <v>761</v>
      </c>
      <c r="B762" t="s">
        <v>2113</v>
      </c>
      <c r="C762">
        <v>-2011</v>
      </c>
      <c r="D762">
        <v>15</v>
      </c>
      <c r="E762" t="s">
        <v>313</v>
      </c>
      <c r="F762" t="s">
        <v>20</v>
      </c>
      <c r="G762">
        <v>7.7</v>
      </c>
      <c r="H762">
        <v>52</v>
      </c>
      <c r="I762" t="s">
        <v>203</v>
      </c>
      <c r="J762" s="3">
        <v>84494</v>
      </c>
      <c r="K762" s="3" t="str">
        <f t="shared" si="49"/>
        <v>Don't Watch</v>
      </c>
      <c r="L762" s="3" t="str">
        <f t="shared" si="46"/>
        <v>Don't Watch</v>
      </c>
      <c r="M762" s="3"/>
      <c r="N762" s="3" t="str">
        <f t="shared" si="47"/>
        <v>Maybe</v>
      </c>
      <c r="O762" t="s">
        <v>691</v>
      </c>
      <c r="P762" t="b">
        <f t="shared" si="48"/>
        <v>0</v>
      </c>
    </row>
    <row r="763" spans="1:16" x14ac:dyDescent="0.25">
      <c r="A763">
        <v>762</v>
      </c>
      <c r="B763" t="s">
        <v>2114</v>
      </c>
      <c r="C763">
        <v>-2011</v>
      </c>
      <c r="D763" t="s">
        <v>30</v>
      </c>
      <c r="E763" t="s">
        <v>1057</v>
      </c>
      <c r="F763" t="s">
        <v>2115</v>
      </c>
      <c r="G763">
        <v>7.7</v>
      </c>
      <c r="H763">
        <v>81</v>
      </c>
      <c r="I763" t="s">
        <v>1294</v>
      </c>
      <c r="J763" s="3">
        <v>418527</v>
      </c>
      <c r="K763" s="3" t="str">
        <f t="shared" si="49"/>
        <v>Don't Watch</v>
      </c>
      <c r="L763" s="3" t="str">
        <f t="shared" si="46"/>
        <v>Don't Watch</v>
      </c>
      <c r="M763" s="3"/>
      <c r="N763" s="3" t="str">
        <f t="shared" si="47"/>
        <v>Maybe</v>
      </c>
      <c r="O763" t="s">
        <v>2116</v>
      </c>
      <c r="P763" t="b">
        <f t="shared" si="48"/>
        <v>0</v>
      </c>
    </row>
    <row r="764" spans="1:16" x14ac:dyDescent="0.25">
      <c r="A764">
        <v>763</v>
      </c>
      <c r="B764" t="s">
        <v>2117</v>
      </c>
      <c r="C764">
        <v>-2010</v>
      </c>
      <c r="D764">
        <v>15</v>
      </c>
      <c r="E764" t="s">
        <v>171</v>
      </c>
      <c r="F764" t="s">
        <v>756</v>
      </c>
      <c r="G764">
        <v>7.7</v>
      </c>
      <c r="I764" t="s">
        <v>2118</v>
      </c>
      <c r="J764" s="3">
        <v>38883</v>
      </c>
      <c r="K764" s="3" t="str">
        <f t="shared" si="49"/>
        <v>Don't Watch</v>
      </c>
      <c r="L764" s="3" t="str">
        <f t="shared" si="46"/>
        <v>Don't Watch</v>
      </c>
      <c r="M764" s="3"/>
      <c r="N764" s="3" t="str">
        <f t="shared" si="47"/>
        <v>Maybe</v>
      </c>
      <c r="P764" t="b">
        <f t="shared" si="48"/>
        <v>0</v>
      </c>
    </row>
    <row r="765" spans="1:16" x14ac:dyDescent="0.25">
      <c r="A765">
        <v>764</v>
      </c>
      <c r="B765" t="s">
        <v>2119</v>
      </c>
      <c r="C765">
        <v>-2010</v>
      </c>
      <c r="D765">
        <v>18</v>
      </c>
      <c r="E765" t="s">
        <v>202</v>
      </c>
      <c r="F765" t="s">
        <v>32</v>
      </c>
      <c r="G765">
        <v>7.7</v>
      </c>
      <c r="I765" t="s">
        <v>2120</v>
      </c>
      <c r="J765" s="3">
        <v>68909</v>
      </c>
      <c r="K765" s="3" t="str">
        <f t="shared" si="49"/>
        <v>Don't Watch</v>
      </c>
      <c r="L765" s="3" t="str">
        <f t="shared" si="46"/>
        <v>Don't Watch</v>
      </c>
      <c r="M765" s="3"/>
      <c r="N765" s="3" t="str">
        <f t="shared" si="47"/>
        <v>Maybe</v>
      </c>
      <c r="O765" t="s">
        <v>684</v>
      </c>
      <c r="P765" t="b">
        <f t="shared" si="48"/>
        <v>0</v>
      </c>
    </row>
    <row r="766" spans="1:16" x14ac:dyDescent="0.25">
      <c r="A766">
        <v>765</v>
      </c>
      <c r="B766" t="s">
        <v>2121</v>
      </c>
      <c r="C766">
        <v>-2014</v>
      </c>
      <c r="D766" t="s">
        <v>49</v>
      </c>
      <c r="E766" t="s">
        <v>613</v>
      </c>
      <c r="F766" t="s">
        <v>279</v>
      </c>
      <c r="G766">
        <v>7.7</v>
      </c>
      <c r="H766">
        <v>83</v>
      </c>
      <c r="I766" t="s">
        <v>2122</v>
      </c>
      <c r="J766" s="3">
        <v>348889</v>
      </c>
      <c r="K766" s="3" t="str">
        <f t="shared" si="49"/>
        <v>Don't Watch</v>
      </c>
      <c r="L766" s="3" t="str">
        <f t="shared" si="46"/>
        <v>Don't Watch</v>
      </c>
      <c r="M766" s="3"/>
      <c r="N766" s="3" t="str">
        <f t="shared" si="47"/>
        <v>Maybe</v>
      </c>
      <c r="O766" t="s">
        <v>2123</v>
      </c>
      <c r="P766" t="b">
        <f t="shared" si="48"/>
        <v>0</v>
      </c>
    </row>
    <row r="767" spans="1:16" x14ac:dyDescent="0.25">
      <c r="A767">
        <v>766</v>
      </c>
      <c r="B767" t="s">
        <v>2124</v>
      </c>
      <c r="C767">
        <v>-2013</v>
      </c>
      <c r="D767" t="s">
        <v>30</v>
      </c>
      <c r="E767" t="s">
        <v>658</v>
      </c>
      <c r="F767" t="s">
        <v>595</v>
      </c>
      <c r="G767">
        <v>7.7</v>
      </c>
      <c r="H767">
        <v>96</v>
      </c>
      <c r="I767" t="s">
        <v>1511</v>
      </c>
      <c r="J767" s="3">
        <v>814554</v>
      </c>
      <c r="K767" s="3" t="str">
        <f t="shared" si="49"/>
        <v>Don't Watch</v>
      </c>
      <c r="L767" s="3" t="str">
        <f t="shared" si="46"/>
        <v>Don't Watch</v>
      </c>
      <c r="M767" s="3"/>
      <c r="N767" s="3" t="str">
        <f t="shared" si="47"/>
        <v>Maybe</v>
      </c>
      <c r="O767" t="s">
        <v>2125</v>
      </c>
      <c r="P767" t="b">
        <f t="shared" si="48"/>
        <v>0</v>
      </c>
    </row>
    <row r="768" spans="1:16" x14ac:dyDescent="0.25">
      <c r="A768">
        <v>767</v>
      </c>
      <c r="B768" t="s">
        <v>2126</v>
      </c>
      <c r="C768">
        <v>-2013</v>
      </c>
      <c r="D768" t="s">
        <v>30</v>
      </c>
      <c r="E768" t="s">
        <v>166</v>
      </c>
      <c r="F768" t="s">
        <v>64</v>
      </c>
      <c r="G768">
        <v>7.7</v>
      </c>
      <c r="H768">
        <v>72</v>
      </c>
      <c r="I768" t="s">
        <v>1474</v>
      </c>
      <c r="J768" s="3">
        <v>480575</v>
      </c>
      <c r="K768" s="3" t="str">
        <f t="shared" si="49"/>
        <v>Don't Watch</v>
      </c>
      <c r="L768" s="3" t="str">
        <f t="shared" si="46"/>
        <v>Don't Watch</v>
      </c>
      <c r="M768" s="3"/>
      <c r="N768" s="3" t="str">
        <f t="shared" si="47"/>
        <v>Maybe</v>
      </c>
      <c r="O768" t="s">
        <v>2127</v>
      </c>
      <c r="P768" t="b">
        <f t="shared" si="48"/>
        <v>0</v>
      </c>
    </row>
    <row r="769" spans="1:16" x14ac:dyDescent="0.25">
      <c r="A769">
        <v>768</v>
      </c>
      <c r="B769" t="s">
        <v>2128</v>
      </c>
      <c r="C769">
        <v>-2015</v>
      </c>
      <c r="D769">
        <v>15</v>
      </c>
      <c r="E769" t="s">
        <v>139</v>
      </c>
      <c r="F769" t="s">
        <v>124</v>
      </c>
      <c r="G769">
        <v>7.7</v>
      </c>
      <c r="H769">
        <v>79</v>
      </c>
      <c r="I769" t="s">
        <v>2129</v>
      </c>
      <c r="J769" s="3">
        <v>80651</v>
      </c>
      <c r="K769" s="3" t="str">
        <f t="shared" si="49"/>
        <v>Don't Watch</v>
      </c>
      <c r="L769" s="3" t="str">
        <f t="shared" si="46"/>
        <v>Don't Watch</v>
      </c>
      <c r="M769" s="3"/>
      <c r="N769" s="3" t="str">
        <f t="shared" si="47"/>
        <v>Maybe</v>
      </c>
      <c r="O769" t="s">
        <v>667</v>
      </c>
      <c r="P769" t="b">
        <f t="shared" si="48"/>
        <v>0</v>
      </c>
    </row>
    <row r="770" spans="1:16" x14ac:dyDescent="0.25">
      <c r="A770">
        <v>769</v>
      </c>
      <c r="B770" t="s">
        <v>2130</v>
      </c>
      <c r="C770">
        <v>-2011</v>
      </c>
      <c r="D770" t="s">
        <v>30</v>
      </c>
      <c r="E770" t="s">
        <v>388</v>
      </c>
      <c r="F770" t="s">
        <v>64</v>
      </c>
      <c r="G770">
        <v>7.7</v>
      </c>
      <c r="H770">
        <v>65</v>
      </c>
      <c r="I770" t="s">
        <v>2081</v>
      </c>
      <c r="J770" s="3">
        <v>683337</v>
      </c>
      <c r="K770" s="3" t="str">
        <f t="shared" si="49"/>
        <v>Don't Watch</v>
      </c>
      <c r="L770" s="3" t="str">
        <f t="shared" si="46"/>
        <v>Don't Watch</v>
      </c>
      <c r="M770" s="3"/>
      <c r="N770" s="3" t="str">
        <f t="shared" si="47"/>
        <v>Maybe</v>
      </c>
      <c r="O770" t="s">
        <v>2131</v>
      </c>
      <c r="P770" t="b">
        <f t="shared" si="48"/>
        <v>0</v>
      </c>
    </row>
    <row r="771" spans="1:16" x14ac:dyDescent="0.25">
      <c r="A771">
        <v>770</v>
      </c>
      <c r="B771" t="s">
        <v>2132</v>
      </c>
      <c r="C771">
        <v>-2009</v>
      </c>
      <c r="D771">
        <v>15</v>
      </c>
      <c r="E771" t="s">
        <v>613</v>
      </c>
      <c r="F771" t="s">
        <v>1287</v>
      </c>
      <c r="G771">
        <v>7.7</v>
      </c>
      <c r="H771">
        <v>73</v>
      </c>
      <c r="I771" t="s">
        <v>269</v>
      </c>
      <c r="J771" s="3">
        <v>771132</v>
      </c>
      <c r="K771" s="3" t="str">
        <f t="shared" si="49"/>
        <v>Don't Watch</v>
      </c>
      <c r="L771" s="3" t="str">
        <f t="shared" ref="L771:L834" si="50">IF(G771=9,"Must Watch",IF(G771=8,"Maybe","Don't Watch"))</f>
        <v>Don't Watch</v>
      </c>
      <c r="M771" s="3"/>
      <c r="N771" s="3" t="str">
        <f t="shared" ref="N771:N834" si="51">IF(I771="Billy Wilder", "Must Watch", IF(I771="John Ford", "Watch", "Maybe"))</f>
        <v>Maybe</v>
      </c>
      <c r="O771" t="s">
        <v>2133</v>
      </c>
      <c r="P771" t="b">
        <f t="shared" ref="P771:P834" si="52">ISNUMBER(B:B)</f>
        <v>0</v>
      </c>
    </row>
    <row r="772" spans="1:16" x14ac:dyDescent="0.25">
      <c r="A772">
        <v>771</v>
      </c>
      <c r="B772" t="s">
        <v>2134</v>
      </c>
      <c r="C772">
        <v>-2020</v>
      </c>
      <c r="D772">
        <v>15</v>
      </c>
      <c r="E772" t="s">
        <v>452</v>
      </c>
      <c r="F772" t="s">
        <v>1248</v>
      </c>
      <c r="G772">
        <v>7.7</v>
      </c>
      <c r="H772">
        <v>76</v>
      </c>
      <c r="I772" t="s">
        <v>2135</v>
      </c>
      <c r="J772" s="3">
        <v>172678</v>
      </c>
      <c r="K772" s="3" t="str">
        <f t="shared" si="49"/>
        <v>Don't Watch</v>
      </c>
      <c r="L772" s="3" t="str">
        <f t="shared" si="50"/>
        <v>Don't Watch</v>
      </c>
      <c r="M772" s="3"/>
      <c r="N772" s="3" t="str">
        <f t="shared" si="51"/>
        <v>Maybe</v>
      </c>
      <c r="P772" t="b">
        <f t="shared" si="52"/>
        <v>0</v>
      </c>
    </row>
    <row r="773" spans="1:16" x14ac:dyDescent="0.25">
      <c r="A773">
        <v>772</v>
      </c>
      <c r="B773" t="s">
        <v>2136</v>
      </c>
      <c r="C773">
        <v>-2012</v>
      </c>
      <c r="D773">
        <v>15</v>
      </c>
      <c r="E773" t="s">
        <v>268</v>
      </c>
      <c r="F773" t="s">
        <v>132</v>
      </c>
      <c r="G773">
        <v>7.7</v>
      </c>
      <c r="H773">
        <v>81</v>
      </c>
      <c r="I773" t="s">
        <v>1812</v>
      </c>
      <c r="J773" s="3">
        <v>701069</v>
      </c>
      <c r="K773" s="3" t="str">
        <f t="shared" si="49"/>
        <v>Don't Watch</v>
      </c>
      <c r="L773" s="3" t="str">
        <f t="shared" si="50"/>
        <v>Don't Watch</v>
      </c>
      <c r="M773" s="3"/>
      <c r="N773" s="3" t="str">
        <f t="shared" si="51"/>
        <v>Maybe</v>
      </c>
      <c r="O773" t="s">
        <v>2137</v>
      </c>
      <c r="P773" t="b">
        <f t="shared" si="52"/>
        <v>0</v>
      </c>
    </row>
    <row r="774" spans="1:16" x14ac:dyDescent="0.25">
      <c r="A774">
        <v>773</v>
      </c>
      <c r="B774" t="s">
        <v>2138</v>
      </c>
      <c r="C774">
        <v>-2020</v>
      </c>
      <c r="D774" t="s">
        <v>30</v>
      </c>
      <c r="E774" t="s">
        <v>232</v>
      </c>
      <c r="F774" t="s">
        <v>304</v>
      </c>
      <c r="G774">
        <v>7.7</v>
      </c>
      <c r="H774">
        <v>79</v>
      </c>
      <c r="I774" t="s">
        <v>381</v>
      </c>
      <c r="J774" s="3">
        <v>146224</v>
      </c>
      <c r="K774" s="3" t="str">
        <f t="shared" si="49"/>
        <v>Don't Watch</v>
      </c>
      <c r="L774" s="3" t="str">
        <f t="shared" si="50"/>
        <v>Don't Watch</v>
      </c>
      <c r="M774" s="3"/>
      <c r="N774" s="3" t="str">
        <f t="shared" si="51"/>
        <v>Maybe</v>
      </c>
      <c r="P774" t="b">
        <f t="shared" si="52"/>
        <v>0</v>
      </c>
    </row>
    <row r="775" spans="1:16" x14ac:dyDescent="0.25">
      <c r="A775">
        <v>774</v>
      </c>
      <c r="B775" t="s">
        <v>2139</v>
      </c>
      <c r="C775">
        <v>-2012</v>
      </c>
      <c r="D775">
        <v>15</v>
      </c>
      <c r="E775" t="s">
        <v>811</v>
      </c>
      <c r="F775" t="s">
        <v>1093</v>
      </c>
      <c r="G775">
        <v>7.7</v>
      </c>
      <c r="H775">
        <v>86</v>
      </c>
      <c r="I775" t="s">
        <v>2140</v>
      </c>
      <c r="J775" s="3">
        <v>607967</v>
      </c>
      <c r="K775" s="3" t="str">
        <f t="shared" ref="K775:K838" si="53">IF(G775&lt;7.9, "Don't Watch", IF(G775&gt;8, "Must Watch", "Maybe"))</f>
        <v>Don't Watch</v>
      </c>
      <c r="L775" s="3" t="str">
        <f t="shared" si="50"/>
        <v>Don't Watch</v>
      </c>
      <c r="M775" s="3"/>
      <c r="N775" s="3" t="str">
        <f t="shared" si="51"/>
        <v>Maybe</v>
      </c>
      <c r="O775" t="s">
        <v>2141</v>
      </c>
      <c r="P775" t="b">
        <f t="shared" si="52"/>
        <v>0</v>
      </c>
    </row>
    <row r="776" spans="1:16" x14ac:dyDescent="0.25">
      <c r="A776">
        <v>775</v>
      </c>
      <c r="B776" t="s">
        <v>2142</v>
      </c>
      <c r="C776">
        <v>-2009</v>
      </c>
      <c r="D776" t="s">
        <v>30</v>
      </c>
      <c r="E776" t="s">
        <v>356</v>
      </c>
      <c r="F776" t="s">
        <v>132</v>
      </c>
      <c r="G776">
        <v>7.7</v>
      </c>
      <c r="H776">
        <v>76</v>
      </c>
      <c r="I776" t="s">
        <v>2143</v>
      </c>
      <c r="J776" s="3">
        <v>505726</v>
      </c>
      <c r="K776" s="3" t="str">
        <f t="shared" si="53"/>
        <v>Don't Watch</v>
      </c>
      <c r="L776" s="3" t="str">
        <f t="shared" si="50"/>
        <v>Don't Watch</v>
      </c>
      <c r="M776" s="3"/>
      <c r="N776" s="3" t="str">
        <f t="shared" si="51"/>
        <v>Maybe</v>
      </c>
      <c r="O776" t="s">
        <v>2144</v>
      </c>
      <c r="P776" t="b">
        <f t="shared" si="52"/>
        <v>0</v>
      </c>
    </row>
    <row r="777" spans="1:16" x14ac:dyDescent="0.25">
      <c r="A777">
        <v>776</v>
      </c>
      <c r="B777" t="s">
        <v>2145</v>
      </c>
      <c r="C777">
        <v>-2010</v>
      </c>
      <c r="D777" t="s">
        <v>30</v>
      </c>
      <c r="E777" t="s">
        <v>349</v>
      </c>
      <c r="F777" t="s">
        <v>1044</v>
      </c>
      <c r="G777">
        <v>7.7</v>
      </c>
      <c r="H777">
        <v>65</v>
      </c>
      <c r="I777" t="s">
        <v>820</v>
      </c>
      <c r="J777" s="3">
        <v>535110</v>
      </c>
      <c r="K777" s="3" t="str">
        <f t="shared" si="53"/>
        <v>Don't Watch</v>
      </c>
      <c r="L777" s="3" t="str">
        <f t="shared" si="50"/>
        <v>Don't Watch</v>
      </c>
      <c r="M777" s="3"/>
      <c r="N777" s="3" t="str">
        <f t="shared" si="51"/>
        <v>Maybe</v>
      </c>
      <c r="O777" t="s">
        <v>2146</v>
      </c>
      <c r="P777" t="b">
        <f t="shared" si="52"/>
        <v>0</v>
      </c>
    </row>
    <row r="778" spans="1:16" x14ac:dyDescent="0.25">
      <c r="A778">
        <v>777</v>
      </c>
      <c r="B778" t="s">
        <v>2147</v>
      </c>
      <c r="C778">
        <v>-2008</v>
      </c>
      <c r="D778" t="s">
        <v>30</v>
      </c>
      <c r="E778" t="s">
        <v>1057</v>
      </c>
      <c r="F778" t="s">
        <v>124</v>
      </c>
      <c r="G778">
        <v>7.7</v>
      </c>
      <c r="H778">
        <v>55</v>
      </c>
      <c r="I778" t="s">
        <v>2148</v>
      </c>
      <c r="J778" s="3">
        <v>214510</v>
      </c>
      <c r="K778" s="3" t="str">
        <f t="shared" si="53"/>
        <v>Don't Watch</v>
      </c>
      <c r="L778" s="3" t="str">
        <f t="shared" si="50"/>
        <v>Don't Watch</v>
      </c>
      <c r="M778" s="3"/>
      <c r="N778" s="3" t="str">
        <f t="shared" si="51"/>
        <v>Maybe</v>
      </c>
      <c r="O778" t="s">
        <v>2149</v>
      </c>
      <c r="P778" t="b">
        <f t="shared" si="52"/>
        <v>0</v>
      </c>
    </row>
    <row r="779" spans="1:16" x14ac:dyDescent="0.25">
      <c r="A779">
        <v>778</v>
      </c>
      <c r="B779" t="s">
        <v>2150</v>
      </c>
      <c r="C779">
        <v>-2007</v>
      </c>
      <c r="D779">
        <v>18</v>
      </c>
      <c r="E779" t="s">
        <v>268</v>
      </c>
      <c r="F779" t="s">
        <v>20</v>
      </c>
      <c r="G779">
        <v>7.7</v>
      </c>
      <c r="H779">
        <v>85</v>
      </c>
      <c r="I779" t="s">
        <v>1507</v>
      </c>
      <c r="J779" s="3">
        <v>32040</v>
      </c>
      <c r="K779" s="3" t="str">
        <f t="shared" si="53"/>
        <v>Don't Watch</v>
      </c>
      <c r="L779" s="3" t="str">
        <f t="shared" si="50"/>
        <v>Don't Watch</v>
      </c>
      <c r="M779" s="3"/>
      <c r="N779" s="3" t="str">
        <f t="shared" si="51"/>
        <v>Maybe</v>
      </c>
      <c r="O779" t="s">
        <v>539</v>
      </c>
      <c r="P779" t="b">
        <f t="shared" si="52"/>
        <v>0</v>
      </c>
    </row>
    <row r="780" spans="1:16" x14ac:dyDescent="0.25">
      <c r="A780">
        <v>779</v>
      </c>
      <c r="B780" t="s">
        <v>2151</v>
      </c>
      <c r="C780">
        <v>-2008</v>
      </c>
      <c r="D780">
        <v>15</v>
      </c>
      <c r="E780" t="s">
        <v>268</v>
      </c>
      <c r="F780" t="s">
        <v>42</v>
      </c>
      <c r="G780">
        <v>7.7</v>
      </c>
      <c r="H780">
        <v>80</v>
      </c>
      <c r="I780" t="s">
        <v>607</v>
      </c>
      <c r="J780" s="3">
        <v>107749</v>
      </c>
      <c r="K780" s="3" t="str">
        <f t="shared" si="53"/>
        <v>Don't Watch</v>
      </c>
      <c r="L780" s="3" t="str">
        <f t="shared" si="50"/>
        <v>Don't Watch</v>
      </c>
      <c r="M780" s="3"/>
      <c r="N780" s="3" t="str">
        <f t="shared" si="51"/>
        <v>Maybe</v>
      </c>
      <c r="O780" t="s">
        <v>2152</v>
      </c>
      <c r="P780" t="b">
        <f t="shared" si="52"/>
        <v>0</v>
      </c>
    </row>
    <row r="781" spans="1:16" x14ac:dyDescent="0.25">
      <c r="A781">
        <v>780</v>
      </c>
      <c r="B781" t="s">
        <v>2153</v>
      </c>
      <c r="C781">
        <v>-2006</v>
      </c>
      <c r="D781">
        <v>15</v>
      </c>
      <c r="E781" t="s">
        <v>1244</v>
      </c>
      <c r="F781" t="s">
        <v>275</v>
      </c>
      <c r="G781">
        <v>7.7</v>
      </c>
      <c r="H781">
        <v>81</v>
      </c>
      <c r="I781" t="s">
        <v>1212</v>
      </c>
      <c r="J781" s="3">
        <v>81551</v>
      </c>
      <c r="K781" s="3" t="str">
        <f t="shared" si="53"/>
        <v>Don't Watch</v>
      </c>
      <c r="L781" s="3" t="str">
        <f t="shared" si="50"/>
        <v>Don't Watch</v>
      </c>
      <c r="M781" s="3"/>
      <c r="N781" s="3" t="str">
        <f t="shared" si="51"/>
        <v>Maybe</v>
      </c>
      <c r="O781" t="s">
        <v>2154</v>
      </c>
      <c r="P781" t="b">
        <f t="shared" si="52"/>
        <v>0</v>
      </c>
    </row>
    <row r="782" spans="1:16" x14ac:dyDescent="0.25">
      <c r="A782">
        <v>781</v>
      </c>
      <c r="B782" t="s">
        <v>2155</v>
      </c>
      <c r="C782" t="s">
        <v>1811</v>
      </c>
      <c r="D782" t="s">
        <v>74</v>
      </c>
      <c r="E782" t="s">
        <v>1244</v>
      </c>
      <c r="F782" t="s">
        <v>132</v>
      </c>
      <c r="G782">
        <v>7.7</v>
      </c>
      <c r="H782">
        <v>45</v>
      </c>
      <c r="I782" t="s">
        <v>935</v>
      </c>
      <c r="J782" s="3">
        <v>89233</v>
      </c>
      <c r="K782" s="3" t="str">
        <f t="shared" si="53"/>
        <v>Don't Watch</v>
      </c>
      <c r="L782" s="3" t="str">
        <f t="shared" si="50"/>
        <v>Don't Watch</v>
      </c>
      <c r="M782" s="3"/>
      <c r="N782" s="3" t="str">
        <f t="shared" si="51"/>
        <v>Maybe</v>
      </c>
      <c r="O782" t="s">
        <v>2156</v>
      </c>
      <c r="P782" t="b">
        <f t="shared" si="52"/>
        <v>0</v>
      </c>
    </row>
    <row r="783" spans="1:16" x14ac:dyDescent="0.25">
      <c r="A783">
        <v>782</v>
      </c>
      <c r="B783" t="s">
        <v>2157</v>
      </c>
      <c r="C783">
        <v>-2006</v>
      </c>
      <c r="D783" t="s">
        <v>30</v>
      </c>
      <c r="E783" t="s">
        <v>313</v>
      </c>
      <c r="F783" t="s">
        <v>292</v>
      </c>
      <c r="G783">
        <v>7.7</v>
      </c>
      <c r="I783" t="s">
        <v>780</v>
      </c>
      <c r="J783" s="3">
        <v>65606</v>
      </c>
      <c r="K783" s="3" t="str">
        <f t="shared" si="53"/>
        <v>Don't Watch</v>
      </c>
      <c r="L783" s="3" t="str">
        <f t="shared" si="50"/>
        <v>Don't Watch</v>
      </c>
      <c r="M783" s="3"/>
      <c r="N783" s="3" t="str">
        <f t="shared" si="51"/>
        <v>Maybe</v>
      </c>
      <c r="P783" t="b">
        <f t="shared" si="52"/>
        <v>0</v>
      </c>
    </row>
    <row r="784" spans="1:16" x14ac:dyDescent="0.25">
      <c r="A784">
        <v>783</v>
      </c>
      <c r="B784" t="s">
        <v>2158</v>
      </c>
      <c r="C784">
        <v>-2006</v>
      </c>
      <c r="D784">
        <v>18</v>
      </c>
      <c r="E784" t="s">
        <v>321</v>
      </c>
      <c r="F784" t="s">
        <v>26</v>
      </c>
      <c r="G784">
        <v>7.7</v>
      </c>
      <c r="H784">
        <v>86</v>
      </c>
      <c r="I784" t="s">
        <v>2159</v>
      </c>
      <c r="J784" s="3">
        <v>121681</v>
      </c>
      <c r="K784" s="3" t="str">
        <f t="shared" si="53"/>
        <v>Don't Watch</v>
      </c>
      <c r="L784" s="3" t="str">
        <f t="shared" si="50"/>
        <v>Don't Watch</v>
      </c>
      <c r="M784" s="3"/>
      <c r="N784" s="3" t="str">
        <f t="shared" si="51"/>
        <v>Maybe</v>
      </c>
      <c r="O784" t="s">
        <v>491</v>
      </c>
      <c r="P784" t="b">
        <f t="shared" si="52"/>
        <v>0</v>
      </c>
    </row>
    <row r="785" spans="1:16" x14ac:dyDescent="0.25">
      <c r="A785">
        <v>784</v>
      </c>
      <c r="B785" t="s">
        <v>2160</v>
      </c>
      <c r="C785">
        <v>-2014</v>
      </c>
      <c r="D785">
        <v>15</v>
      </c>
      <c r="E785" t="s">
        <v>409</v>
      </c>
      <c r="F785" t="s">
        <v>1900</v>
      </c>
      <c r="G785">
        <v>7.7</v>
      </c>
      <c r="H785">
        <v>78</v>
      </c>
      <c r="I785" t="s">
        <v>2161</v>
      </c>
      <c r="J785" s="3">
        <v>531677</v>
      </c>
      <c r="K785" s="3" t="str">
        <f t="shared" si="53"/>
        <v>Don't Watch</v>
      </c>
      <c r="L785" s="3" t="str">
        <f t="shared" si="50"/>
        <v>Don't Watch</v>
      </c>
      <c r="M785" s="3"/>
      <c r="N785" s="3" t="str">
        <f t="shared" si="51"/>
        <v>Maybe</v>
      </c>
      <c r="O785" t="s">
        <v>2162</v>
      </c>
      <c r="P785" t="b">
        <f t="shared" si="52"/>
        <v>0</v>
      </c>
    </row>
    <row r="786" spans="1:16" x14ac:dyDescent="0.25">
      <c r="A786">
        <v>785</v>
      </c>
      <c r="B786" t="s">
        <v>2163</v>
      </c>
      <c r="C786">
        <v>-2006</v>
      </c>
      <c r="D786">
        <v>15</v>
      </c>
      <c r="E786" t="s">
        <v>811</v>
      </c>
      <c r="F786" t="s">
        <v>20</v>
      </c>
      <c r="G786">
        <v>7.7</v>
      </c>
      <c r="H786">
        <v>78</v>
      </c>
      <c r="I786" t="s">
        <v>2164</v>
      </c>
      <c r="J786" s="3">
        <v>34572</v>
      </c>
      <c r="K786" s="3" t="str">
        <f t="shared" si="53"/>
        <v>Don't Watch</v>
      </c>
      <c r="L786" s="3" t="str">
        <f t="shared" si="50"/>
        <v>Don't Watch</v>
      </c>
      <c r="M786" s="3"/>
      <c r="N786" s="3" t="str">
        <f t="shared" si="51"/>
        <v>Maybe</v>
      </c>
      <c r="O786" t="s">
        <v>1465</v>
      </c>
      <c r="P786" t="b">
        <f t="shared" si="52"/>
        <v>0</v>
      </c>
    </row>
    <row r="787" spans="1:16" x14ac:dyDescent="0.25">
      <c r="A787">
        <v>786</v>
      </c>
      <c r="B787" t="s">
        <v>2165</v>
      </c>
      <c r="C787">
        <v>-2006</v>
      </c>
      <c r="D787">
        <v>15</v>
      </c>
      <c r="E787" t="s">
        <v>384</v>
      </c>
      <c r="F787" t="s">
        <v>42</v>
      </c>
      <c r="G787">
        <v>7.7</v>
      </c>
      <c r="H787">
        <v>74</v>
      </c>
      <c r="I787" t="s">
        <v>2166</v>
      </c>
      <c r="J787" s="3">
        <v>185094</v>
      </c>
      <c r="K787" s="3" t="str">
        <f t="shared" si="53"/>
        <v>Don't Watch</v>
      </c>
      <c r="L787" s="3" t="str">
        <f t="shared" si="50"/>
        <v>Don't Watch</v>
      </c>
      <c r="M787" s="3"/>
      <c r="N787" s="3" t="str">
        <f t="shared" si="51"/>
        <v>Maybe</v>
      </c>
      <c r="O787" t="s">
        <v>2167</v>
      </c>
      <c r="P787" t="b">
        <f t="shared" si="52"/>
        <v>0</v>
      </c>
    </row>
    <row r="788" spans="1:16" x14ac:dyDescent="0.25">
      <c r="A788">
        <v>787</v>
      </c>
      <c r="B788" t="s">
        <v>2168</v>
      </c>
      <c r="C788">
        <v>-2007</v>
      </c>
      <c r="D788">
        <v>15</v>
      </c>
      <c r="E788" t="s">
        <v>1772</v>
      </c>
      <c r="F788" t="s">
        <v>56</v>
      </c>
      <c r="G788">
        <v>7.7</v>
      </c>
      <c r="H788">
        <v>78</v>
      </c>
      <c r="I788" t="s">
        <v>71</v>
      </c>
      <c r="J788" s="3">
        <v>527916</v>
      </c>
      <c r="K788" s="3" t="str">
        <f t="shared" si="53"/>
        <v>Don't Watch</v>
      </c>
      <c r="L788" s="3" t="str">
        <f t="shared" si="50"/>
        <v>Don't Watch</v>
      </c>
      <c r="M788" s="3"/>
      <c r="N788" s="3" t="str">
        <f t="shared" si="51"/>
        <v>Maybe</v>
      </c>
      <c r="O788" t="s">
        <v>2169</v>
      </c>
      <c r="P788" t="b">
        <f t="shared" si="52"/>
        <v>0</v>
      </c>
    </row>
    <row r="789" spans="1:16" x14ac:dyDescent="0.25">
      <c r="A789">
        <v>788</v>
      </c>
      <c r="B789" t="s">
        <v>2170</v>
      </c>
      <c r="C789">
        <v>-2006</v>
      </c>
      <c r="D789">
        <v>18</v>
      </c>
      <c r="E789" t="s">
        <v>209</v>
      </c>
      <c r="F789" t="s">
        <v>144</v>
      </c>
      <c r="G789">
        <v>7.7</v>
      </c>
      <c r="H789">
        <v>53</v>
      </c>
      <c r="I789" t="s">
        <v>2171</v>
      </c>
      <c r="J789" s="3">
        <v>311366</v>
      </c>
      <c r="K789" s="3" t="str">
        <f t="shared" si="53"/>
        <v>Don't Watch</v>
      </c>
      <c r="L789" s="3" t="str">
        <f t="shared" si="50"/>
        <v>Don't Watch</v>
      </c>
      <c r="M789" s="3"/>
      <c r="N789" s="3" t="str">
        <f t="shared" si="51"/>
        <v>Maybe</v>
      </c>
      <c r="O789" t="s">
        <v>2172</v>
      </c>
      <c r="P789" t="b">
        <f t="shared" si="52"/>
        <v>0</v>
      </c>
    </row>
    <row r="790" spans="1:16" x14ac:dyDescent="0.25">
      <c r="A790">
        <v>789</v>
      </c>
      <c r="B790" t="s">
        <v>2173</v>
      </c>
      <c r="C790">
        <v>-2005</v>
      </c>
      <c r="D790" t="s">
        <v>30</v>
      </c>
      <c r="E790" t="s">
        <v>131</v>
      </c>
      <c r="F790" t="s">
        <v>2174</v>
      </c>
      <c r="G790">
        <v>7.7</v>
      </c>
      <c r="H790">
        <v>70</v>
      </c>
      <c r="I790" t="s">
        <v>2175</v>
      </c>
      <c r="J790" s="3">
        <v>29737</v>
      </c>
      <c r="K790" s="3" t="str">
        <f t="shared" si="53"/>
        <v>Don't Watch</v>
      </c>
      <c r="L790" s="3" t="str">
        <f t="shared" si="50"/>
        <v>Don't Watch</v>
      </c>
      <c r="M790" s="3"/>
      <c r="N790" s="3" t="str">
        <f t="shared" si="51"/>
        <v>Maybe</v>
      </c>
      <c r="O790" t="s">
        <v>2176</v>
      </c>
      <c r="P790" t="b">
        <f t="shared" si="52"/>
        <v>0</v>
      </c>
    </row>
    <row r="791" spans="1:16" x14ac:dyDescent="0.25">
      <c r="A791">
        <v>790</v>
      </c>
      <c r="B791" t="s">
        <v>2177</v>
      </c>
      <c r="C791">
        <v>-2007</v>
      </c>
      <c r="D791">
        <v>15</v>
      </c>
      <c r="E791" t="s">
        <v>268</v>
      </c>
      <c r="F791" t="s">
        <v>194</v>
      </c>
      <c r="G791">
        <v>7.7</v>
      </c>
      <c r="H791">
        <v>78</v>
      </c>
      <c r="I791" t="s">
        <v>2178</v>
      </c>
      <c r="J791" s="3">
        <v>65001</v>
      </c>
      <c r="K791" s="3" t="str">
        <f t="shared" si="53"/>
        <v>Don't Watch</v>
      </c>
      <c r="L791" s="3" t="str">
        <f t="shared" si="50"/>
        <v>Don't Watch</v>
      </c>
      <c r="M791" s="3"/>
      <c r="N791" s="3" t="str">
        <f t="shared" si="51"/>
        <v>Maybe</v>
      </c>
      <c r="O791" t="s">
        <v>2179</v>
      </c>
      <c r="P791" t="b">
        <f t="shared" si="52"/>
        <v>0</v>
      </c>
    </row>
    <row r="792" spans="1:16" x14ac:dyDescent="0.25">
      <c r="A792">
        <v>791</v>
      </c>
      <c r="B792" t="s">
        <v>2180</v>
      </c>
      <c r="C792">
        <v>-2005</v>
      </c>
      <c r="D792" t="s">
        <v>1166</v>
      </c>
      <c r="E792" t="s">
        <v>1057</v>
      </c>
      <c r="F792" t="s">
        <v>453</v>
      </c>
      <c r="G792">
        <v>7.7</v>
      </c>
      <c r="H792">
        <v>51</v>
      </c>
      <c r="I792" t="s">
        <v>2181</v>
      </c>
      <c r="J792" s="3">
        <v>50436</v>
      </c>
      <c r="K792" s="3" t="str">
        <f t="shared" si="53"/>
        <v>Don't Watch</v>
      </c>
      <c r="L792" s="3" t="str">
        <f t="shared" si="50"/>
        <v>Don't Watch</v>
      </c>
      <c r="M792" s="3"/>
      <c r="N792" s="3" t="str">
        <f t="shared" si="51"/>
        <v>Maybe</v>
      </c>
      <c r="O792" t="s">
        <v>1549</v>
      </c>
      <c r="P792" t="b">
        <f t="shared" si="52"/>
        <v>0</v>
      </c>
    </row>
    <row r="793" spans="1:16" x14ac:dyDescent="0.25">
      <c r="A793">
        <v>792</v>
      </c>
      <c r="B793" t="s">
        <v>2182</v>
      </c>
      <c r="C793">
        <v>-2010</v>
      </c>
      <c r="D793" t="s">
        <v>74</v>
      </c>
      <c r="E793" t="s">
        <v>613</v>
      </c>
      <c r="F793" t="s">
        <v>292</v>
      </c>
      <c r="G793">
        <v>7.7</v>
      </c>
      <c r="H793">
        <v>71</v>
      </c>
      <c r="I793" t="s">
        <v>2183</v>
      </c>
      <c r="J793" s="3">
        <v>443137</v>
      </c>
      <c r="K793" s="3" t="str">
        <f t="shared" si="53"/>
        <v>Don't Watch</v>
      </c>
      <c r="L793" s="3" t="str">
        <f t="shared" si="50"/>
        <v>Don't Watch</v>
      </c>
      <c r="M793" s="3"/>
      <c r="N793" s="3" t="str">
        <f t="shared" si="51"/>
        <v>Maybe</v>
      </c>
      <c r="O793" t="s">
        <v>2184</v>
      </c>
      <c r="P793" t="b">
        <f t="shared" si="52"/>
        <v>0</v>
      </c>
    </row>
    <row r="794" spans="1:16" x14ac:dyDescent="0.25">
      <c r="A794">
        <v>793</v>
      </c>
      <c r="B794" t="s">
        <v>2185</v>
      </c>
      <c r="C794">
        <v>-2006</v>
      </c>
      <c r="D794">
        <v>15</v>
      </c>
      <c r="E794" t="s">
        <v>94</v>
      </c>
      <c r="F794" t="s">
        <v>441</v>
      </c>
      <c r="G794">
        <v>7.7</v>
      </c>
      <c r="H794">
        <v>71</v>
      </c>
      <c r="I794" t="s">
        <v>2186</v>
      </c>
      <c r="J794" s="3">
        <v>76610</v>
      </c>
      <c r="K794" s="3" t="str">
        <f t="shared" si="53"/>
        <v>Don't Watch</v>
      </c>
      <c r="L794" s="3" t="str">
        <f t="shared" si="50"/>
        <v>Don't Watch</v>
      </c>
      <c r="M794" s="3"/>
      <c r="N794" s="3" t="str">
        <f t="shared" si="51"/>
        <v>Maybe</v>
      </c>
      <c r="O794" t="s">
        <v>2187</v>
      </c>
      <c r="P794" t="b">
        <f t="shared" si="52"/>
        <v>0</v>
      </c>
    </row>
    <row r="795" spans="1:16" x14ac:dyDescent="0.25">
      <c r="A795">
        <v>794</v>
      </c>
      <c r="B795" t="s">
        <v>2188</v>
      </c>
      <c r="C795">
        <v>-2005</v>
      </c>
      <c r="D795">
        <v>15</v>
      </c>
      <c r="E795" t="s">
        <v>331</v>
      </c>
      <c r="F795" t="s">
        <v>78</v>
      </c>
      <c r="G795">
        <v>7.7</v>
      </c>
      <c r="H795">
        <v>87</v>
      </c>
      <c r="I795" t="s">
        <v>1487</v>
      </c>
      <c r="J795" s="3">
        <v>352240</v>
      </c>
      <c r="K795" s="3" t="str">
        <f t="shared" si="53"/>
        <v>Don't Watch</v>
      </c>
      <c r="L795" s="3" t="str">
        <f t="shared" si="50"/>
        <v>Don't Watch</v>
      </c>
      <c r="M795" s="3"/>
      <c r="N795" s="3" t="str">
        <f t="shared" si="51"/>
        <v>Maybe</v>
      </c>
      <c r="O795" t="s">
        <v>2189</v>
      </c>
      <c r="P795" t="b">
        <f t="shared" si="52"/>
        <v>0</v>
      </c>
    </row>
    <row r="796" spans="1:16" x14ac:dyDescent="0.25">
      <c r="A796">
        <v>795</v>
      </c>
      <c r="B796" t="s">
        <v>2190</v>
      </c>
      <c r="C796">
        <v>-2007</v>
      </c>
      <c r="D796">
        <v>15</v>
      </c>
      <c r="E796" t="s">
        <v>268</v>
      </c>
      <c r="F796" t="s">
        <v>32</v>
      </c>
      <c r="G796">
        <v>7.7</v>
      </c>
      <c r="H796">
        <v>76</v>
      </c>
      <c r="I796" t="s">
        <v>753</v>
      </c>
      <c r="J796" s="3">
        <v>307732</v>
      </c>
      <c r="K796" s="3" t="str">
        <f t="shared" si="53"/>
        <v>Don't Watch</v>
      </c>
      <c r="L796" s="3" t="str">
        <f t="shared" si="50"/>
        <v>Don't Watch</v>
      </c>
      <c r="M796" s="3"/>
      <c r="N796" s="3" t="str">
        <f t="shared" si="51"/>
        <v>Maybe</v>
      </c>
      <c r="O796" t="s">
        <v>2191</v>
      </c>
      <c r="P796" t="b">
        <f t="shared" si="52"/>
        <v>0</v>
      </c>
    </row>
    <row r="797" spans="1:16" x14ac:dyDescent="0.25">
      <c r="A797">
        <v>796</v>
      </c>
      <c r="B797" t="s">
        <v>2192</v>
      </c>
      <c r="C797">
        <v>-2004</v>
      </c>
      <c r="D797">
        <v>15</v>
      </c>
      <c r="E797" t="s">
        <v>436</v>
      </c>
      <c r="F797" t="s">
        <v>1961</v>
      </c>
      <c r="G797">
        <v>7.7</v>
      </c>
      <c r="H797">
        <v>78</v>
      </c>
      <c r="I797" t="s">
        <v>2193</v>
      </c>
      <c r="J797" s="3">
        <v>137769</v>
      </c>
      <c r="K797" s="3" t="str">
        <f t="shared" si="53"/>
        <v>Don't Watch</v>
      </c>
      <c r="L797" s="3" t="str">
        <f t="shared" si="50"/>
        <v>Don't Watch</v>
      </c>
      <c r="M797" s="3"/>
      <c r="N797" s="3" t="str">
        <f t="shared" si="51"/>
        <v>Maybe</v>
      </c>
      <c r="O797" t="s">
        <v>2194</v>
      </c>
      <c r="P797" t="b">
        <f t="shared" si="52"/>
        <v>0</v>
      </c>
    </row>
    <row r="798" spans="1:16" x14ac:dyDescent="0.25">
      <c r="A798">
        <v>797</v>
      </c>
      <c r="B798" t="s">
        <v>2195</v>
      </c>
      <c r="C798">
        <v>-2004</v>
      </c>
      <c r="D798" t="s">
        <v>30</v>
      </c>
      <c r="E798" t="s">
        <v>409</v>
      </c>
      <c r="F798" t="s">
        <v>1153</v>
      </c>
      <c r="G798">
        <v>7.7</v>
      </c>
      <c r="H798">
        <v>73</v>
      </c>
      <c r="I798" t="s">
        <v>1154</v>
      </c>
      <c r="J798" s="3">
        <v>458841</v>
      </c>
      <c r="K798" s="3" t="str">
        <f t="shared" si="53"/>
        <v>Don't Watch</v>
      </c>
      <c r="L798" s="3" t="str">
        <f t="shared" si="50"/>
        <v>Don't Watch</v>
      </c>
      <c r="M798" s="3"/>
      <c r="N798" s="3" t="str">
        <f t="shared" si="51"/>
        <v>Maybe</v>
      </c>
      <c r="O798" t="s">
        <v>2196</v>
      </c>
      <c r="P798" t="b">
        <f t="shared" si="52"/>
        <v>0</v>
      </c>
    </row>
    <row r="799" spans="1:16" x14ac:dyDescent="0.25">
      <c r="A799">
        <v>798</v>
      </c>
      <c r="B799" t="s">
        <v>2197</v>
      </c>
      <c r="C799">
        <v>-2004</v>
      </c>
      <c r="D799">
        <v>15</v>
      </c>
      <c r="E799" t="s">
        <v>321</v>
      </c>
      <c r="F799" t="s">
        <v>756</v>
      </c>
      <c r="G799">
        <v>7.7</v>
      </c>
      <c r="H799">
        <v>61</v>
      </c>
      <c r="I799" t="s">
        <v>2198</v>
      </c>
      <c r="J799" s="3">
        <v>383930</v>
      </c>
      <c r="K799" s="3" t="str">
        <f t="shared" si="53"/>
        <v>Don't Watch</v>
      </c>
      <c r="L799" s="3" t="str">
        <f t="shared" si="50"/>
        <v>Don't Watch</v>
      </c>
      <c r="M799" s="3"/>
      <c r="N799" s="3" t="str">
        <f t="shared" si="51"/>
        <v>Maybe</v>
      </c>
      <c r="O799" t="s">
        <v>1091</v>
      </c>
      <c r="P799" t="b">
        <f t="shared" si="52"/>
        <v>0</v>
      </c>
    </row>
    <row r="800" spans="1:16" x14ac:dyDescent="0.25">
      <c r="A800">
        <v>799</v>
      </c>
      <c r="B800" t="s">
        <v>2199</v>
      </c>
      <c r="C800" t="s">
        <v>1180</v>
      </c>
      <c r="D800">
        <v>15</v>
      </c>
      <c r="E800" t="s">
        <v>31</v>
      </c>
      <c r="F800" t="s">
        <v>194</v>
      </c>
      <c r="G800">
        <v>7.7</v>
      </c>
      <c r="H800">
        <v>73</v>
      </c>
      <c r="I800" t="s">
        <v>1574</v>
      </c>
      <c r="J800" s="3">
        <v>146667</v>
      </c>
      <c r="K800" s="3" t="str">
        <f t="shared" si="53"/>
        <v>Don't Watch</v>
      </c>
      <c r="L800" s="3" t="str">
        <f t="shared" si="50"/>
        <v>Don't Watch</v>
      </c>
      <c r="M800" s="3"/>
      <c r="N800" s="3" t="str">
        <f t="shared" si="51"/>
        <v>Maybe</v>
      </c>
      <c r="O800" t="s">
        <v>2200</v>
      </c>
      <c r="P800" t="b">
        <f t="shared" si="52"/>
        <v>0</v>
      </c>
    </row>
    <row r="801" spans="1:16" x14ac:dyDescent="0.25">
      <c r="A801">
        <v>800</v>
      </c>
      <c r="B801" t="s">
        <v>2201</v>
      </c>
      <c r="C801">
        <v>-2003</v>
      </c>
      <c r="D801">
        <v>15</v>
      </c>
      <c r="E801" t="s">
        <v>325</v>
      </c>
      <c r="F801" t="s">
        <v>20</v>
      </c>
      <c r="G801">
        <v>7.7</v>
      </c>
      <c r="H801">
        <v>61</v>
      </c>
      <c r="I801" t="s">
        <v>2202</v>
      </c>
      <c r="J801" s="3">
        <v>38410</v>
      </c>
      <c r="K801" s="3" t="str">
        <f t="shared" si="53"/>
        <v>Don't Watch</v>
      </c>
      <c r="L801" s="3" t="str">
        <f t="shared" si="50"/>
        <v>Don't Watch</v>
      </c>
      <c r="M801" s="3"/>
      <c r="N801" s="3" t="str">
        <f t="shared" si="51"/>
        <v>Maybe</v>
      </c>
      <c r="O801" t="s">
        <v>258</v>
      </c>
      <c r="P801" t="b">
        <f t="shared" si="52"/>
        <v>0</v>
      </c>
    </row>
    <row r="802" spans="1:16" x14ac:dyDescent="0.25">
      <c r="A802">
        <v>801</v>
      </c>
      <c r="B802" t="s">
        <v>2203</v>
      </c>
      <c r="C802">
        <v>-2003</v>
      </c>
      <c r="D802">
        <v>15</v>
      </c>
      <c r="E802" t="s">
        <v>249</v>
      </c>
      <c r="F802" t="s">
        <v>304</v>
      </c>
      <c r="G802">
        <v>7.7</v>
      </c>
      <c r="H802">
        <v>89</v>
      </c>
      <c r="I802" t="s">
        <v>2204</v>
      </c>
      <c r="J802" s="3">
        <v>446835</v>
      </c>
      <c r="K802" s="3" t="str">
        <f t="shared" si="53"/>
        <v>Don't Watch</v>
      </c>
      <c r="L802" s="3" t="str">
        <f t="shared" si="50"/>
        <v>Don't Watch</v>
      </c>
      <c r="M802" s="3"/>
      <c r="N802" s="3" t="str">
        <f t="shared" si="51"/>
        <v>Maybe</v>
      </c>
      <c r="O802" t="s">
        <v>2205</v>
      </c>
      <c r="P802" t="b">
        <f t="shared" si="52"/>
        <v>0</v>
      </c>
    </row>
    <row r="803" spans="1:16" x14ac:dyDescent="0.25">
      <c r="A803">
        <v>802</v>
      </c>
      <c r="B803" t="s">
        <v>2206</v>
      </c>
      <c r="C803">
        <v>-2005</v>
      </c>
      <c r="D803" t="s">
        <v>30</v>
      </c>
      <c r="E803" t="s">
        <v>1772</v>
      </c>
      <c r="F803" t="s">
        <v>1044</v>
      </c>
      <c r="G803">
        <v>7.7</v>
      </c>
      <c r="H803">
        <v>81</v>
      </c>
      <c r="I803" t="s">
        <v>2207</v>
      </c>
      <c r="J803" s="3">
        <v>611437</v>
      </c>
      <c r="K803" s="3" t="str">
        <f t="shared" si="53"/>
        <v>Don't Watch</v>
      </c>
      <c r="L803" s="3" t="str">
        <f t="shared" si="50"/>
        <v>Don't Watch</v>
      </c>
      <c r="M803" s="3"/>
      <c r="N803" s="3" t="str">
        <f t="shared" si="51"/>
        <v>Maybe</v>
      </c>
      <c r="O803" t="s">
        <v>2208</v>
      </c>
      <c r="P803" t="b">
        <f t="shared" si="52"/>
        <v>0</v>
      </c>
    </row>
    <row r="804" spans="1:16" x14ac:dyDescent="0.25">
      <c r="A804">
        <v>803</v>
      </c>
      <c r="B804" t="s">
        <v>2209</v>
      </c>
      <c r="C804">
        <v>-2004</v>
      </c>
      <c r="D804">
        <v>18</v>
      </c>
      <c r="E804" t="s">
        <v>349</v>
      </c>
      <c r="F804" t="s">
        <v>32</v>
      </c>
      <c r="G804">
        <v>7.7</v>
      </c>
      <c r="H804">
        <v>47</v>
      </c>
      <c r="I804" t="s">
        <v>1562</v>
      </c>
      <c r="J804" s="3">
        <v>358240</v>
      </c>
      <c r="K804" s="3" t="str">
        <f t="shared" si="53"/>
        <v>Don't Watch</v>
      </c>
      <c r="L804" s="3" t="str">
        <f t="shared" si="50"/>
        <v>Don't Watch</v>
      </c>
      <c r="M804" s="3"/>
      <c r="N804" s="3" t="str">
        <f t="shared" si="51"/>
        <v>Maybe</v>
      </c>
      <c r="O804" t="s">
        <v>2210</v>
      </c>
      <c r="P804" t="b">
        <f t="shared" si="52"/>
        <v>0</v>
      </c>
    </row>
    <row r="805" spans="1:16" x14ac:dyDescent="0.25">
      <c r="A805">
        <v>804</v>
      </c>
      <c r="B805" t="s">
        <v>2211</v>
      </c>
      <c r="C805">
        <v>-2009</v>
      </c>
      <c r="D805" t="s">
        <v>74</v>
      </c>
      <c r="E805" t="s">
        <v>613</v>
      </c>
      <c r="F805" t="s">
        <v>779</v>
      </c>
      <c r="G805">
        <v>7.7</v>
      </c>
      <c r="H805">
        <v>80</v>
      </c>
      <c r="I805" t="s">
        <v>1569</v>
      </c>
      <c r="J805" s="3">
        <v>221379</v>
      </c>
      <c r="K805" s="3" t="str">
        <f t="shared" si="53"/>
        <v>Don't Watch</v>
      </c>
      <c r="L805" s="3" t="str">
        <f t="shared" si="50"/>
        <v>Don't Watch</v>
      </c>
      <c r="M805" s="3"/>
      <c r="N805" s="3" t="str">
        <f t="shared" si="51"/>
        <v>Maybe</v>
      </c>
      <c r="O805" t="s">
        <v>2212</v>
      </c>
      <c r="P805" t="b">
        <f t="shared" si="52"/>
        <v>0</v>
      </c>
    </row>
    <row r="806" spans="1:16" x14ac:dyDescent="0.25">
      <c r="A806">
        <v>805</v>
      </c>
      <c r="B806" t="s">
        <v>2213</v>
      </c>
      <c r="C806">
        <v>-2002</v>
      </c>
      <c r="D806">
        <v>15</v>
      </c>
      <c r="E806" t="s">
        <v>655</v>
      </c>
      <c r="F806" t="s">
        <v>20</v>
      </c>
      <c r="G806">
        <v>7.7</v>
      </c>
      <c r="H806">
        <v>83</v>
      </c>
      <c r="I806" t="s">
        <v>2214</v>
      </c>
      <c r="J806" s="3">
        <v>27190</v>
      </c>
      <c r="K806" s="3" t="str">
        <f t="shared" si="53"/>
        <v>Don't Watch</v>
      </c>
      <c r="L806" s="3" t="str">
        <f t="shared" si="50"/>
        <v>Don't Watch</v>
      </c>
      <c r="M806" s="3"/>
      <c r="N806" s="3" t="str">
        <f t="shared" si="51"/>
        <v>Maybe</v>
      </c>
      <c r="O806" t="s">
        <v>2215</v>
      </c>
      <c r="P806" t="b">
        <f t="shared" si="52"/>
        <v>0</v>
      </c>
    </row>
    <row r="807" spans="1:16" x14ac:dyDescent="0.25">
      <c r="A807">
        <v>806</v>
      </c>
      <c r="B807" t="s">
        <v>2216</v>
      </c>
      <c r="C807">
        <v>-2003</v>
      </c>
      <c r="D807">
        <v>15</v>
      </c>
      <c r="E807" t="s">
        <v>99</v>
      </c>
      <c r="F807" t="s">
        <v>144</v>
      </c>
      <c r="G807">
        <v>7.7</v>
      </c>
      <c r="H807">
        <v>70</v>
      </c>
      <c r="I807" t="s">
        <v>875</v>
      </c>
      <c r="J807" s="3">
        <v>235206</v>
      </c>
      <c r="K807" s="3" t="str">
        <f t="shared" si="53"/>
        <v>Don't Watch</v>
      </c>
      <c r="L807" s="3" t="str">
        <f t="shared" si="50"/>
        <v>Don't Watch</v>
      </c>
      <c r="M807" s="3"/>
      <c r="N807" s="3" t="str">
        <f t="shared" si="51"/>
        <v>Maybe</v>
      </c>
      <c r="O807" t="s">
        <v>2217</v>
      </c>
      <c r="P807" t="b">
        <f t="shared" si="52"/>
        <v>0</v>
      </c>
    </row>
    <row r="808" spans="1:16" x14ac:dyDescent="0.25">
      <c r="A808">
        <v>807</v>
      </c>
      <c r="B808" t="s">
        <v>2218</v>
      </c>
      <c r="C808">
        <v>-2004</v>
      </c>
      <c r="D808" t="s">
        <v>74</v>
      </c>
      <c r="E808" t="s">
        <v>171</v>
      </c>
      <c r="F808" t="s">
        <v>824</v>
      </c>
      <c r="G808">
        <v>7.7</v>
      </c>
      <c r="H808">
        <v>67</v>
      </c>
      <c r="I808" t="s">
        <v>2219</v>
      </c>
      <c r="J808" s="3">
        <v>205743</v>
      </c>
      <c r="K808" s="3" t="str">
        <f t="shared" si="53"/>
        <v>Don't Watch</v>
      </c>
      <c r="L808" s="3" t="str">
        <f t="shared" si="50"/>
        <v>Don't Watch</v>
      </c>
      <c r="M808" s="3"/>
      <c r="N808" s="3" t="str">
        <f t="shared" si="51"/>
        <v>Maybe</v>
      </c>
      <c r="O808" t="s">
        <v>2220</v>
      </c>
      <c r="P808" t="b">
        <f t="shared" si="52"/>
        <v>0</v>
      </c>
    </row>
    <row r="809" spans="1:16" x14ac:dyDescent="0.25">
      <c r="A809">
        <v>808</v>
      </c>
      <c r="B809" t="s">
        <v>2221</v>
      </c>
      <c r="C809">
        <v>-2003</v>
      </c>
      <c r="D809">
        <v>15</v>
      </c>
      <c r="E809" t="s">
        <v>148</v>
      </c>
      <c r="F809" t="s">
        <v>132</v>
      </c>
      <c r="G809">
        <v>7.7</v>
      </c>
      <c r="H809">
        <v>68</v>
      </c>
      <c r="I809" t="s">
        <v>2222</v>
      </c>
      <c r="J809" s="3">
        <v>145278</v>
      </c>
      <c r="K809" s="3" t="str">
        <f t="shared" si="53"/>
        <v>Don't Watch</v>
      </c>
      <c r="L809" s="3" t="str">
        <f t="shared" si="50"/>
        <v>Don't Watch</v>
      </c>
      <c r="M809" s="3"/>
      <c r="N809" s="3" t="str">
        <f t="shared" si="51"/>
        <v>Maybe</v>
      </c>
      <c r="O809" t="s">
        <v>2223</v>
      </c>
      <c r="P809" t="b">
        <f t="shared" si="52"/>
        <v>0</v>
      </c>
    </row>
    <row r="810" spans="1:16" x14ac:dyDescent="0.25">
      <c r="A810">
        <v>809</v>
      </c>
      <c r="B810" t="s">
        <v>2224</v>
      </c>
      <c r="C810">
        <v>-2002</v>
      </c>
      <c r="D810">
        <v>15</v>
      </c>
      <c r="E810" t="s">
        <v>291</v>
      </c>
      <c r="F810" t="s">
        <v>20</v>
      </c>
      <c r="G810">
        <v>7.7</v>
      </c>
      <c r="H810">
        <v>76</v>
      </c>
      <c r="I810" t="s">
        <v>914</v>
      </c>
      <c r="J810" s="3">
        <v>43010</v>
      </c>
      <c r="K810" s="3" t="str">
        <f t="shared" si="53"/>
        <v>Don't Watch</v>
      </c>
      <c r="L810" s="3" t="str">
        <f t="shared" si="50"/>
        <v>Don't Watch</v>
      </c>
      <c r="M810" s="3"/>
      <c r="N810" s="3" t="str">
        <f t="shared" si="51"/>
        <v>Maybe</v>
      </c>
      <c r="O810" t="s">
        <v>2225</v>
      </c>
      <c r="P810" t="b">
        <f t="shared" si="52"/>
        <v>0</v>
      </c>
    </row>
    <row r="811" spans="1:16" x14ac:dyDescent="0.25">
      <c r="A811">
        <v>810</v>
      </c>
      <c r="B811" t="s">
        <v>2226</v>
      </c>
      <c r="C811">
        <v>-2003</v>
      </c>
      <c r="D811">
        <v>12</v>
      </c>
      <c r="E811" t="s">
        <v>851</v>
      </c>
      <c r="F811" t="s">
        <v>828</v>
      </c>
      <c r="G811">
        <v>7.7</v>
      </c>
      <c r="H811">
        <v>91</v>
      </c>
      <c r="I811" t="s">
        <v>2227</v>
      </c>
      <c r="J811" s="3">
        <v>54279</v>
      </c>
      <c r="K811" s="3" t="str">
        <f t="shared" si="53"/>
        <v>Don't Watch</v>
      </c>
      <c r="L811" s="3" t="str">
        <f t="shared" si="50"/>
        <v>Don't Watch</v>
      </c>
      <c r="M811" s="3"/>
      <c r="N811" s="3" t="str">
        <f t="shared" si="51"/>
        <v>Maybe</v>
      </c>
      <c r="O811" t="s">
        <v>1792</v>
      </c>
      <c r="P811" t="b">
        <f t="shared" si="52"/>
        <v>0</v>
      </c>
    </row>
    <row r="812" spans="1:16" x14ac:dyDescent="0.25">
      <c r="A812">
        <v>811</v>
      </c>
      <c r="B812" t="s">
        <v>2228</v>
      </c>
      <c r="C812">
        <v>-2002</v>
      </c>
      <c r="D812">
        <v>15</v>
      </c>
      <c r="E812" t="s">
        <v>342</v>
      </c>
      <c r="F812" t="s">
        <v>304</v>
      </c>
      <c r="G812">
        <v>7.7</v>
      </c>
      <c r="H812">
        <v>83</v>
      </c>
      <c r="I812" t="s">
        <v>1104</v>
      </c>
      <c r="J812" s="3">
        <v>191094</v>
      </c>
      <c r="K812" s="3" t="str">
        <f t="shared" si="53"/>
        <v>Don't Watch</v>
      </c>
      <c r="L812" s="3" t="str">
        <f t="shared" si="50"/>
        <v>Don't Watch</v>
      </c>
      <c r="M812" s="3"/>
      <c r="N812" s="3" t="str">
        <f t="shared" si="51"/>
        <v>Maybe</v>
      </c>
      <c r="O812" t="s">
        <v>2229</v>
      </c>
      <c r="P812" t="b">
        <f t="shared" si="52"/>
        <v>0</v>
      </c>
    </row>
    <row r="813" spans="1:16" x14ac:dyDescent="0.25">
      <c r="A813">
        <v>812</v>
      </c>
      <c r="B813" t="s">
        <v>2230</v>
      </c>
      <c r="C813">
        <v>-2001</v>
      </c>
      <c r="D813">
        <v>15</v>
      </c>
      <c r="E813" t="s">
        <v>1072</v>
      </c>
      <c r="F813" t="s">
        <v>516</v>
      </c>
      <c r="G813">
        <v>7.7</v>
      </c>
      <c r="H813">
        <v>74</v>
      </c>
      <c r="I813" t="s">
        <v>199</v>
      </c>
      <c r="J813" s="3">
        <v>390934</v>
      </c>
      <c r="K813" s="3" t="str">
        <f t="shared" si="53"/>
        <v>Don't Watch</v>
      </c>
      <c r="L813" s="3" t="str">
        <f t="shared" si="50"/>
        <v>Don't Watch</v>
      </c>
      <c r="M813" s="3"/>
      <c r="N813" s="3" t="str">
        <f t="shared" si="51"/>
        <v>Maybe</v>
      </c>
      <c r="O813" t="s">
        <v>2231</v>
      </c>
      <c r="P813" t="b">
        <f t="shared" si="52"/>
        <v>0</v>
      </c>
    </row>
    <row r="814" spans="1:16" x14ac:dyDescent="0.25">
      <c r="A814">
        <v>813</v>
      </c>
      <c r="B814" t="s">
        <v>2232</v>
      </c>
      <c r="C814">
        <v>-2002</v>
      </c>
      <c r="D814">
        <v>15</v>
      </c>
      <c r="E814" t="s">
        <v>232</v>
      </c>
      <c r="F814" t="s">
        <v>144</v>
      </c>
      <c r="G814">
        <v>7.7</v>
      </c>
      <c r="H814">
        <v>72</v>
      </c>
      <c r="I814" t="s">
        <v>328</v>
      </c>
      <c r="J814" s="3">
        <v>264797</v>
      </c>
      <c r="K814" s="3" t="str">
        <f t="shared" si="53"/>
        <v>Don't Watch</v>
      </c>
      <c r="L814" s="3" t="str">
        <f t="shared" si="50"/>
        <v>Don't Watch</v>
      </c>
      <c r="M814" s="3"/>
      <c r="N814" s="3" t="str">
        <f t="shared" si="51"/>
        <v>Maybe</v>
      </c>
      <c r="O814" t="s">
        <v>2233</v>
      </c>
      <c r="P814" t="b">
        <f t="shared" si="52"/>
        <v>0</v>
      </c>
    </row>
    <row r="815" spans="1:16" x14ac:dyDescent="0.25">
      <c r="A815">
        <v>814</v>
      </c>
      <c r="B815" t="s">
        <v>2234</v>
      </c>
      <c r="C815">
        <v>-2001</v>
      </c>
      <c r="D815">
        <v>18</v>
      </c>
      <c r="E815" t="s">
        <v>811</v>
      </c>
      <c r="F815" t="s">
        <v>756</v>
      </c>
      <c r="G815">
        <v>7.7</v>
      </c>
      <c r="H815">
        <v>60</v>
      </c>
      <c r="I815" t="s">
        <v>601</v>
      </c>
      <c r="J815" s="3">
        <v>93600</v>
      </c>
      <c r="K815" s="3" t="str">
        <f t="shared" si="53"/>
        <v>Don't Watch</v>
      </c>
      <c r="L815" s="3" t="str">
        <f t="shared" si="50"/>
        <v>Don't Watch</v>
      </c>
      <c r="M815" s="3"/>
      <c r="N815" s="3" t="str">
        <f t="shared" si="51"/>
        <v>Maybe</v>
      </c>
      <c r="O815" t="s">
        <v>764</v>
      </c>
      <c r="P815" t="b">
        <f t="shared" si="52"/>
        <v>0</v>
      </c>
    </row>
    <row r="816" spans="1:16" x14ac:dyDescent="0.25">
      <c r="A816">
        <v>815</v>
      </c>
      <c r="B816" t="s">
        <v>2235</v>
      </c>
      <c r="C816">
        <v>-2000</v>
      </c>
      <c r="D816">
        <v>15</v>
      </c>
      <c r="E816" t="s">
        <v>209</v>
      </c>
      <c r="F816" t="s">
        <v>172</v>
      </c>
      <c r="G816">
        <v>7.7</v>
      </c>
      <c r="H816">
        <v>74</v>
      </c>
      <c r="I816" t="s">
        <v>2236</v>
      </c>
      <c r="J816" s="3">
        <v>134128</v>
      </c>
      <c r="K816" s="3" t="str">
        <f t="shared" si="53"/>
        <v>Don't Watch</v>
      </c>
      <c r="L816" s="3" t="str">
        <f t="shared" si="50"/>
        <v>Don't Watch</v>
      </c>
      <c r="M816" s="3"/>
      <c r="N816" s="3" t="str">
        <f t="shared" si="51"/>
        <v>Maybe</v>
      </c>
      <c r="O816" t="s">
        <v>2237</v>
      </c>
      <c r="P816" t="b">
        <f t="shared" si="52"/>
        <v>0</v>
      </c>
    </row>
    <row r="817" spans="1:16" x14ac:dyDescent="0.25">
      <c r="A817">
        <v>816</v>
      </c>
      <c r="B817" t="s">
        <v>2238</v>
      </c>
      <c r="C817">
        <v>-2001</v>
      </c>
      <c r="D817">
        <v>15</v>
      </c>
      <c r="E817" t="s">
        <v>356</v>
      </c>
      <c r="F817" t="s">
        <v>1066</v>
      </c>
      <c r="G817">
        <v>7.7</v>
      </c>
      <c r="H817">
        <v>85</v>
      </c>
      <c r="I817" t="s">
        <v>2239</v>
      </c>
      <c r="J817" s="3">
        <v>35471</v>
      </c>
      <c r="K817" s="3" t="str">
        <f t="shared" si="53"/>
        <v>Don't Watch</v>
      </c>
      <c r="L817" s="3" t="str">
        <f t="shared" si="50"/>
        <v>Don't Watch</v>
      </c>
      <c r="M817" s="3"/>
      <c r="N817" s="3" t="str">
        <f t="shared" si="51"/>
        <v>Maybe</v>
      </c>
      <c r="O817" t="s">
        <v>2240</v>
      </c>
      <c r="P817" t="b">
        <f t="shared" si="52"/>
        <v>0</v>
      </c>
    </row>
    <row r="818" spans="1:16" x14ac:dyDescent="0.25">
      <c r="A818">
        <v>817</v>
      </c>
      <c r="B818" t="s">
        <v>2241</v>
      </c>
      <c r="C818">
        <v>-2002</v>
      </c>
      <c r="D818" t="s">
        <v>308</v>
      </c>
      <c r="E818" t="s">
        <v>388</v>
      </c>
      <c r="F818" t="s">
        <v>37</v>
      </c>
      <c r="G818">
        <v>7.7</v>
      </c>
      <c r="H818">
        <v>61</v>
      </c>
      <c r="I818" t="s">
        <v>2242</v>
      </c>
      <c r="J818" s="3">
        <v>137108</v>
      </c>
      <c r="K818" s="3" t="str">
        <f t="shared" si="53"/>
        <v>Don't Watch</v>
      </c>
      <c r="L818" s="3" t="str">
        <f t="shared" si="50"/>
        <v>Don't Watch</v>
      </c>
      <c r="M818" s="3"/>
      <c r="N818" s="3" t="str">
        <f t="shared" si="51"/>
        <v>Maybe</v>
      </c>
      <c r="O818" t="s">
        <v>2243</v>
      </c>
      <c r="P818" t="b">
        <f t="shared" si="52"/>
        <v>0</v>
      </c>
    </row>
    <row r="819" spans="1:16" x14ac:dyDescent="0.25">
      <c r="A819">
        <v>818</v>
      </c>
      <c r="B819" t="s">
        <v>2244</v>
      </c>
      <c r="C819">
        <v>-2001</v>
      </c>
      <c r="D819">
        <v>18</v>
      </c>
      <c r="E819" t="s">
        <v>171</v>
      </c>
      <c r="F819" t="s">
        <v>20</v>
      </c>
      <c r="G819">
        <v>7.7</v>
      </c>
      <c r="H819">
        <v>88</v>
      </c>
      <c r="I819" t="s">
        <v>1511</v>
      </c>
      <c r="J819" s="3">
        <v>122102</v>
      </c>
      <c r="K819" s="3" t="str">
        <f t="shared" si="53"/>
        <v>Don't Watch</v>
      </c>
      <c r="L819" s="3" t="str">
        <f t="shared" si="50"/>
        <v>Don't Watch</v>
      </c>
      <c r="M819" s="3"/>
      <c r="N819" s="3" t="str">
        <f t="shared" si="51"/>
        <v>Maybe</v>
      </c>
      <c r="O819" t="s">
        <v>2245</v>
      </c>
      <c r="P819" t="b">
        <f t="shared" si="52"/>
        <v>0</v>
      </c>
    </row>
    <row r="820" spans="1:16" x14ac:dyDescent="0.25">
      <c r="A820">
        <v>819</v>
      </c>
      <c r="B820" t="s">
        <v>2246</v>
      </c>
      <c r="C820">
        <v>-2001</v>
      </c>
      <c r="D820">
        <v>15</v>
      </c>
      <c r="E820" t="s">
        <v>436</v>
      </c>
      <c r="F820" t="s">
        <v>275</v>
      </c>
      <c r="G820">
        <v>7.7</v>
      </c>
      <c r="H820">
        <v>83</v>
      </c>
      <c r="I820" t="s">
        <v>852</v>
      </c>
      <c r="J820" s="3">
        <v>63852</v>
      </c>
      <c r="K820" s="3" t="str">
        <f t="shared" si="53"/>
        <v>Don't Watch</v>
      </c>
      <c r="L820" s="3" t="str">
        <f t="shared" si="50"/>
        <v>Don't Watch</v>
      </c>
      <c r="M820" s="3"/>
      <c r="N820" s="3" t="str">
        <f t="shared" si="51"/>
        <v>Maybe</v>
      </c>
      <c r="O820" t="s">
        <v>2247</v>
      </c>
      <c r="P820" t="b">
        <f t="shared" si="52"/>
        <v>0</v>
      </c>
    </row>
    <row r="821" spans="1:16" x14ac:dyDescent="0.25">
      <c r="A821">
        <v>820</v>
      </c>
      <c r="B821" t="s">
        <v>2248</v>
      </c>
      <c r="C821">
        <v>-2001</v>
      </c>
      <c r="D821">
        <v>12</v>
      </c>
      <c r="E821" t="s">
        <v>131</v>
      </c>
      <c r="F821" t="s">
        <v>683</v>
      </c>
      <c r="G821">
        <v>7.7</v>
      </c>
      <c r="H821">
        <v>74</v>
      </c>
      <c r="I821" t="s">
        <v>2249</v>
      </c>
      <c r="J821" s="3">
        <v>561615</v>
      </c>
      <c r="K821" s="3" t="str">
        <f t="shared" si="53"/>
        <v>Don't Watch</v>
      </c>
      <c r="L821" s="3" t="str">
        <f t="shared" si="50"/>
        <v>Don't Watch</v>
      </c>
      <c r="M821" s="3"/>
      <c r="N821" s="3" t="str">
        <f t="shared" si="51"/>
        <v>Maybe</v>
      </c>
      <c r="O821" t="s">
        <v>2250</v>
      </c>
      <c r="P821" t="b">
        <f t="shared" si="52"/>
        <v>0</v>
      </c>
    </row>
    <row r="822" spans="1:16" x14ac:dyDescent="0.25">
      <c r="A822">
        <v>821</v>
      </c>
      <c r="B822" t="s">
        <v>2251</v>
      </c>
      <c r="C822">
        <v>-2000</v>
      </c>
      <c r="D822">
        <v>12</v>
      </c>
      <c r="E822" t="s">
        <v>493</v>
      </c>
      <c r="F822" t="s">
        <v>773</v>
      </c>
      <c r="G822">
        <v>7.7</v>
      </c>
      <c r="H822">
        <v>69</v>
      </c>
      <c r="I822" t="s">
        <v>893</v>
      </c>
      <c r="J822" s="3">
        <v>308287</v>
      </c>
      <c r="K822" s="3" t="str">
        <f t="shared" si="53"/>
        <v>Don't Watch</v>
      </c>
      <c r="L822" s="3" t="str">
        <f t="shared" si="50"/>
        <v>Don't Watch</v>
      </c>
      <c r="M822" s="3"/>
      <c r="N822" s="3" t="str">
        <f t="shared" si="51"/>
        <v>Maybe</v>
      </c>
      <c r="O822" t="s">
        <v>1774</v>
      </c>
      <c r="P822" t="b">
        <f t="shared" si="52"/>
        <v>0</v>
      </c>
    </row>
    <row r="823" spans="1:16" x14ac:dyDescent="0.25">
      <c r="A823">
        <v>822</v>
      </c>
      <c r="B823" t="s">
        <v>2252</v>
      </c>
      <c r="C823">
        <v>-2002</v>
      </c>
      <c r="D823">
        <v>12</v>
      </c>
      <c r="E823" t="s">
        <v>94</v>
      </c>
      <c r="F823" t="s">
        <v>2253</v>
      </c>
      <c r="G823">
        <v>7.7</v>
      </c>
      <c r="H823">
        <v>80</v>
      </c>
      <c r="I823" t="s">
        <v>43</v>
      </c>
      <c r="J823" s="3">
        <v>542869</v>
      </c>
      <c r="K823" s="3" t="str">
        <f t="shared" si="53"/>
        <v>Don't Watch</v>
      </c>
      <c r="L823" s="3" t="str">
        <f t="shared" si="50"/>
        <v>Don't Watch</v>
      </c>
      <c r="M823" s="3"/>
      <c r="N823" s="3" t="str">
        <f t="shared" si="51"/>
        <v>Maybe</v>
      </c>
      <c r="O823" t="s">
        <v>2254</v>
      </c>
      <c r="P823" t="b">
        <f t="shared" si="52"/>
        <v>0</v>
      </c>
    </row>
    <row r="824" spans="1:16" x14ac:dyDescent="0.25">
      <c r="A824">
        <v>823</v>
      </c>
      <c r="B824" t="s">
        <v>2255</v>
      </c>
      <c r="C824">
        <v>-1999</v>
      </c>
      <c r="D824">
        <v>15</v>
      </c>
      <c r="E824" t="s">
        <v>429</v>
      </c>
      <c r="F824" t="s">
        <v>2256</v>
      </c>
      <c r="G824">
        <v>7.7</v>
      </c>
      <c r="H824">
        <v>73</v>
      </c>
      <c r="I824" t="s">
        <v>2257</v>
      </c>
      <c r="J824" s="3">
        <v>203062</v>
      </c>
      <c r="K824" s="3" t="str">
        <f t="shared" si="53"/>
        <v>Don't Watch</v>
      </c>
      <c r="L824" s="3" t="str">
        <f t="shared" si="50"/>
        <v>Don't Watch</v>
      </c>
      <c r="M824" s="3"/>
      <c r="N824" s="3" t="str">
        <f t="shared" si="51"/>
        <v>Maybe</v>
      </c>
      <c r="O824" t="s">
        <v>2258</v>
      </c>
      <c r="P824" t="b">
        <f t="shared" si="52"/>
        <v>0</v>
      </c>
    </row>
    <row r="825" spans="1:16" x14ac:dyDescent="0.25">
      <c r="A825">
        <v>824</v>
      </c>
      <c r="B825" t="s">
        <v>2259</v>
      </c>
      <c r="C825">
        <v>-1999</v>
      </c>
      <c r="D825">
        <v>15</v>
      </c>
      <c r="E825" t="s">
        <v>221</v>
      </c>
      <c r="F825" t="s">
        <v>1287</v>
      </c>
      <c r="G825">
        <v>7.7</v>
      </c>
      <c r="H825">
        <v>68</v>
      </c>
      <c r="I825" t="s">
        <v>2260</v>
      </c>
      <c r="J825" s="3">
        <v>262823</v>
      </c>
      <c r="K825" s="3" t="str">
        <f t="shared" si="53"/>
        <v>Don't Watch</v>
      </c>
      <c r="L825" s="3" t="str">
        <f t="shared" si="50"/>
        <v>Don't Watch</v>
      </c>
      <c r="M825" s="3"/>
      <c r="N825" s="3" t="str">
        <f t="shared" si="51"/>
        <v>Maybe</v>
      </c>
      <c r="O825" t="s">
        <v>2261</v>
      </c>
      <c r="P825" t="b">
        <f t="shared" si="52"/>
        <v>0</v>
      </c>
    </row>
    <row r="826" spans="1:16" x14ac:dyDescent="0.25">
      <c r="A826">
        <v>825</v>
      </c>
      <c r="B826" t="s">
        <v>2262</v>
      </c>
      <c r="C826">
        <v>-1998</v>
      </c>
      <c r="D826">
        <v>18</v>
      </c>
      <c r="E826" t="s">
        <v>331</v>
      </c>
      <c r="F826" t="s">
        <v>304</v>
      </c>
      <c r="G826">
        <v>7.7</v>
      </c>
      <c r="H826">
        <v>81</v>
      </c>
      <c r="I826" t="s">
        <v>2263</v>
      </c>
      <c r="J826" s="3">
        <v>69967</v>
      </c>
      <c r="K826" s="3" t="str">
        <f t="shared" si="53"/>
        <v>Don't Watch</v>
      </c>
      <c r="L826" s="3" t="str">
        <f t="shared" si="50"/>
        <v>Don't Watch</v>
      </c>
      <c r="M826" s="3"/>
      <c r="N826" s="3" t="str">
        <f t="shared" si="51"/>
        <v>Maybe</v>
      </c>
      <c r="O826" t="s">
        <v>2264</v>
      </c>
      <c r="P826" t="b">
        <f t="shared" si="52"/>
        <v>0</v>
      </c>
    </row>
    <row r="827" spans="1:16" x14ac:dyDescent="0.25">
      <c r="A827">
        <v>826</v>
      </c>
      <c r="B827" t="s">
        <v>2265</v>
      </c>
      <c r="C827">
        <v>-1999</v>
      </c>
      <c r="D827">
        <v>18</v>
      </c>
      <c r="E827" t="s">
        <v>409</v>
      </c>
      <c r="F827" t="s">
        <v>640</v>
      </c>
      <c r="G827">
        <v>7.7</v>
      </c>
      <c r="H827">
        <v>44</v>
      </c>
      <c r="I827" t="s">
        <v>2266</v>
      </c>
      <c r="J827" s="3">
        <v>238011</v>
      </c>
      <c r="K827" s="3" t="str">
        <f t="shared" si="53"/>
        <v>Don't Watch</v>
      </c>
      <c r="L827" s="3" t="str">
        <f t="shared" si="50"/>
        <v>Don't Watch</v>
      </c>
      <c r="M827" s="3"/>
      <c r="N827" s="3" t="str">
        <f t="shared" si="51"/>
        <v>Maybe</v>
      </c>
      <c r="O827" t="s">
        <v>502</v>
      </c>
      <c r="P827" t="b">
        <f t="shared" si="52"/>
        <v>0</v>
      </c>
    </row>
    <row r="828" spans="1:16" x14ac:dyDescent="0.25">
      <c r="A828">
        <v>827</v>
      </c>
      <c r="B828" t="s">
        <v>2267</v>
      </c>
      <c r="C828">
        <v>-2001</v>
      </c>
      <c r="D828">
        <v>18</v>
      </c>
      <c r="E828" t="s">
        <v>268</v>
      </c>
      <c r="F828" t="s">
        <v>32</v>
      </c>
      <c r="G828">
        <v>7.7</v>
      </c>
      <c r="H828">
        <v>69</v>
      </c>
      <c r="I828" t="s">
        <v>2268</v>
      </c>
      <c r="J828" s="3">
        <v>427538</v>
      </c>
      <c r="K828" s="3" t="str">
        <f t="shared" si="53"/>
        <v>Don't Watch</v>
      </c>
      <c r="L828" s="3" t="str">
        <f t="shared" si="50"/>
        <v>Don't Watch</v>
      </c>
      <c r="M828" s="3"/>
      <c r="N828" s="3" t="str">
        <f t="shared" si="51"/>
        <v>Maybe</v>
      </c>
      <c r="O828" t="s">
        <v>2269</v>
      </c>
      <c r="P828" t="b">
        <f t="shared" si="52"/>
        <v>0</v>
      </c>
    </row>
    <row r="829" spans="1:16" x14ac:dyDescent="0.25">
      <c r="A829">
        <v>828</v>
      </c>
      <c r="B829" t="s">
        <v>2270</v>
      </c>
      <c r="C829">
        <v>-1998</v>
      </c>
      <c r="D829">
        <v>15</v>
      </c>
      <c r="E829" t="s">
        <v>429</v>
      </c>
      <c r="F829" t="s">
        <v>1175</v>
      </c>
      <c r="G829">
        <v>7.7</v>
      </c>
      <c r="H829">
        <v>77</v>
      </c>
      <c r="I829" t="s">
        <v>2271</v>
      </c>
      <c r="J829" s="3">
        <v>197730</v>
      </c>
      <c r="K829" s="3" t="str">
        <f t="shared" si="53"/>
        <v>Don't Watch</v>
      </c>
      <c r="L829" s="3" t="str">
        <f t="shared" si="50"/>
        <v>Don't Watch</v>
      </c>
      <c r="M829" s="3"/>
      <c r="N829" s="3" t="str">
        <f t="shared" si="51"/>
        <v>Maybe</v>
      </c>
      <c r="O829" t="s">
        <v>2272</v>
      </c>
      <c r="P829" t="b">
        <f t="shared" si="52"/>
        <v>0</v>
      </c>
    </row>
    <row r="830" spans="1:16" x14ac:dyDescent="0.25">
      <c r="A830">
        <v>829</v>
      </c>
      <c r="B830" t="s">
        <v>2273</v>
      </c>
      <c r="C830">
        <v>-1997</v>
      </c>
      <c r="D830">
        <v>15</v>
      </c>
      <c r="E830" t="s">
        <v>202</v>
      </c>
      <c r="F830" t="s">
        <v>187</v>
      </c>
      <c r="G830">
        <v>7.7</v>
      </c>
      <c r="I830" t="s">
        <v>1181</v>
      </c>
      <c r="J830" s="3">
        <v>68959</v>
      </c>
      <c r="K830" s="3" t="str">
        <f t="shared" si="53"/>
        <v>Don't Watch</v>
      </c>
      <c r="L830" s="3" t="str">
        <f t="shared" si="50"/>
        <v>Don't Watch</v>
      </c>
      <c r="M830" s="3"/>
      <c r="N830" s="3" t="str">
        <f t="shared" si="51"/>
        <v>Maybe</v>
      </c>
      <c r="O830" t="s">
        <v>2274</v>
      </c>
      <c r="P830" t="b">
        <f t="shared" si="52"/>
        <v>0</v>
      </c>
    </row>
    <row r="831" spans="1:16" x14ac:dyDescent="0.25">
      <c r="A831">
        <v>830</v>
      </c>
      <c r="B831" t="s">
        <v>2275</v>
      </c>
      <c r="C831">
        <v>-1997</v>
      </c>
      <c r="D831" t="s">
        <v>74</v>
      </c>
      <c r="E831" t="s">
        <v>356</v>
      </c>
      <c r="F831" t="s">
        <v>20</v>
      </c>
      <c r="G831">
        <v>7.7</v>
      </c>
      <c r="H831">
        <v>80</v>
      </c>
      <c r="I831" t="s">
        <v>2276</v>
      </c>
      <c r="J831" s="3">
        <v>30423</v>
      </c>
      <c r="K831" s="3" t="str">
        <f t="shared" si="53"/>
        <v>Don't Watch</v>
      </c>
      <c r="L831" s="3" t="str">
        <f t="shared" si="50"/>
        <v>Don't Watch</v>
      </c>
      <c r="M831" s="3"/>
      <c r="N831" s="3" t="str">
        <f t="shared" si="51"/>
        <v>Maybe</v>
      </c>
      <c r="O831" t="s">
        <v>907</v>
      </c>
      <c r="P831" t="b">
        <f t="shared" si="52"/>
        <v>0</v>
      </c>
    </row>
    <row r="832" spans="1:16" x14ac:dyDescent="0.25">
      <c r="A832">
        <v>831</v>
      </c>
      <c r="B832" t="s">
        <v>2277</v>
      </c>
      <c r="C832">
        <v>-1997</v>
      </c>
      <c r="D832">
        <v>15</v>
      </c>
      <c r="E832" t="s">
        <v>70</v>
      </c>
      <c r="F832" t="s">
        <v>132</v>
      </c>
      <c r="G832">
        <v>7.7</v>
      </c>
      <c r="H832">
        <v>67</v>
      </c>
      <c r="I832" t="s">
        <v>2278</v>
      </c>
      <c r="J832" s="3">
        <v>295933</v>
      </c>
      <c r="K832" s="3" t="str">
        <f t="shared" si="53"/>
        <v>Don't Watch</v>
      </c>
      <c r="L832" s="3" t="str">
        <f t="shared" si="50"/>
        <v>Don't Watch</v>
      </c>
      <c r="M832" s="3"/>
      <c r="N832" s="3" t="str">
        <f t="shared" si="51"/>
        <v>Maybe</v>
      </c>
      <c r="O832" t="s">
        <v>2279</v>
      </c>
      <c r="P832" t="b">
        <f t="shared" si="52"/>
        <v>0</v>
      </c>
    </row>
    <row r="833" spans="1:16" x14ac:dyDescent="0.25">
      <c r="A833">
        <v>832</v>
      </c>
      <c r="B833" t="s">
        <v>2280</v>
      </c>
      <c r="C833">
        <v>-1997</v>
      </c>
      <c r="D833">
        <v>18</v>
      </c>
      <c r="E833" t="s">
        <v>403</v>
      </c>
      <c r="F833" t="s">
        <v>1132</v>
      </c>
      <c r="G833">
        <v>7.7</v>
      </c>
      <c r="I833" t="s">
        <v>2281</v>
      </c>
      <c r="J833" s="3">
        <v>30480</v>
      </c>
      <c r="K833" s="3" t="str">
        <f t="shared" si="53"/>
        <v>Don't Watch</v>
      </c>
      <c r="L833" s="3" t="str">
        <f t="shared" si="50"/>
        <v>Don't Watch</v>
      </c>
      <c r="M833" s="3"/>
      <c r="N833" s="3" t="str">
        <f t="shared" si="51"/>
        <v>Maybe</v>
      </c>
      <c r="O833" t="s">
        <v>958</v>
      </c>
      <c r="P833" t="b">
        <f t="shared" si="52"/>
        <v>0</v>
      </c>
    </row>
    <row r="834" spans="1:16" x14ac:dyDescent="0.25">
      <c r="A834">
        <v>833</v>
      </c>
      <c r="B834" t="s">
        <v>2282</v>
      </c>
      <c r="C834">
        <v>-1997</v>
      </c>
      <c r="D834">
        <v>15</v>
      </c>
      <c r="E834" t="s">
        <v>452</v>
      </c>
      <c r="F834" t="s">
        <v>317</v>
      </c>
      <c r="G834">
        <v>7.7</v>
      </c>
      <c r="H834">
        <v>61</v>
      </c>
      <c r="I834" t="s">
        <v>71</v>
      </c>
      <c r="J834" s="3">
        <v>386785</v>
      </c>
      <c r="K834" s="3" t="str">
        <f t="shared" si="53"/>
        <v>Don't Watch</v>
      </c>
      <c r="L834" s="3" t="str">
        <f t="shared" si="50"/>
        <v>Don't Watch</v>
      </c>
      <c r="M834" s="3"/>
      <c r="N834" s="3" t="str">
        <f t="shared" si="51"/>
        <v>Maybe</v>
      </c>
      <c r="O834" t="s">
        <v>2283</v>
      </c>
      <c r="P834" t="b">
        <f t="shared" si="52"/>
        <v>0</v>
      </c>
    </row>
    <row r="835" spans="1:16" x14ac:dyDescent="0.25">
      <c r="A835">
        <v>834</v>
      </c>
      <c r="B835" t="s">
        <v>2284</v>
      </c>
      <c r="C835">
        <v>-1997</v>
      </c>
      <c r="D835">
        <v>18</v>
      </c>
      <c r="E835" t="s">
        <v>136</v>
      </c>
      <c r="F835" t="s">
        <v>95</v>
      </c>
      <c r="G835">
        <v>7.7</v>
      </c>
      <c r="H835">
        <v>76</v>
      </c>
      <c r="I835" t="s">
        <v>2207</v>
      </c>
      <c r="J835" s="3">
        <v>303217</v>
      </c>
      <c r="K835" s="3" t="str">
        <f t="shared" si="53"/>
        <v>Don't Watch</v>
      </c>
      <c r="L835" s="3" t="str">
        <f t="shared" ref="L835:L898" si="54">IF(G835=9,"Must Watch",IF(G835=8,"Maybe","Don't Watch"))</f>
        <v>Don't Watch</v>
      </c>
      <c r="M835" s="3"/>
      <c r="N835" s="3" t="str">
        <f t="shared" ref="N835:N898" si="55">IF(I835="Billy Wilder", "Must Watch", IF(I835="John Ford", "Watch", "Maybe"))</f>
        <v>Maybe</v>
      </c>
      <c r="O835" t="s">
        <v>2285</v>
      </c>
      <c r="P835" t="b">
        <f t="shared" ref="P835:P898" si="56">ISNUMBER(B:B)</f>
        <v>0</v>
      </c>
    </row>
    <row r="836" spans="1:16" x14ac:dyDescent="0.25">
      <c r="A836">
        <v>835</v>
      </c>
      <c r="B836" t="s">
        <v>2286</v>
      </c>
      <c r="C836">
        <v>-1997</v>
      </c>
      <c r="D836">
        <v>15</v>
      </c>
      <c r="E836" t="s">
        <v>50</v>
      </c>
      <c r="F836" t="s">
        <v>78</v>
      </c>
      <c r="G836">
        <v>7.7</v>
      </c>
      <c r="H836">
        <v>70</v>
      </c>
      <c r="I836" t="s">
        <v>1223</v>
      </c>
      <c r="J836" s="3">
        <v>28698</v>
      </c>
      <c r="K836" s="3" t="str">
        <f t="shared" si="53"/>
        <v>Don't Watch</v>
      </c>
      <c r="L836" s="3" t="str">
        <f t="shared" si="54"/>
        <v>Don't Watch</v>
      </c>
      <c r="M836" s="3"/>
      <c r="N836" s="3" t="str">
        <f t="shared" si="55"/>
        <v>Maybe</v>
      </c>
      <c r="O836" t="s">
        <v>1880</v>
      </c>
      <c r="P836" t="b">
        <f t="shared" si="56"/>
        <v>0</v>
      </c>
    </row>
    <row r="837" spans="1:16" x14ac:dyDescent="0.25">
      <c r="A837">
        <v>836</v>
      </c>
      <c r="B837" t="s">
        <v>2287</v>
      </c>
      <c r="C837">
        <v>-1996</v>
      </c>
      <c r="D837">
        <v>12</v>
      </c>
      <c r="E837" t="s">
        <v>291</v>
      </c>
      <c r="F837" t="s">
        <v>194</v>
      </c>
      <c r="G837">
        <v>7.7</v>
      </c>
      <c r="H837">
        <v>87</v>
      </c>
      <c r="I837" t="s">
        <v>2288</v>
      </c>
      <c r="J837" s="3">
        <v>54099</v>
      </c>
      <c r="K837" s="3" t="str">
        <f t="shared" si="53"/>
        <v>Don't Watch</v>
      </c>
      <c r="L837" s="3" t="str">
        <f t="shared" si="54"/>
        <v>Don't Watch</v>
      </c>
      <c r="M837" s="3"/>
      <c r="N837" s="3" t="str">
        <f t="shared" si="55"/>
        <v>Maybe</v>
      </c>
      <c r="O837" t="s">
        <v>2289</v>
      </c>
      <c r="P837" t="b">
        <f t="shared" si="56"/>
        <v>0</v>
      </c>
    </row>
    <row r="838" spans="1:16" x14ac:dyDescent="0.25">
      <c r="A838">
        <v>837</v>
      </c>
      <c r="B838" t="s">
        <v>2290</v>
      </c>
      <c r="C838">
        <v>-1996</v>
      </c>
      <c r="D838">
        <v>18</v>
      </c>
      <c r="E838" t="s">
        <v>452</v>
      </c>
      <c r="F838" t="s">
        <v>56</v>
      </c>
      <c r="G838">
        <v>7.7</v>
      </c>
      <c r="H838">
        <v>47</v>
      </c>
      <c r="I838" t="s">
        <v>2291</v>
      </c>
      <c r="J838" s="3">
        <v>209708</v>
      </c>
      <c r="K838" s="3" t="str">
        <f t="shared" si="53"/>
        <v>Don't Watch</v>
      </c>
      <c r="L838" s="3" t="str">
        <f t="shared" si="54"/>
        <v>Don't Watch</v>
      </c>
      <c r="M838" s="3"/>
      <c r="N838" s="3" t="str">
        <f t="shared" si="55"/>
        <v>Maybe</v>
      </c>
      <c r="O838" t="s">
        <v>2292</v>
      </c>
      <c r="P838" t="b">
        <f t="shared" si="56"/>
        <v>0</v>
      </c>
    </row>
    <row r="839" spans="1:16" x14ac:dyDescent="0.25">
      <c r="A839">
        <v>838</v>
      </c>
      <c r="B839" t="s">
        <v>2293</v>
      </c>
      <c r="C839">
        <v>-1995</v>
      </c>
      <c r="D839" t="s">
        <v>49</v>
      </c>
      <c r="E839" t="s">
        <v>89</v>
      </c>
      <c r="F839" t="s">
        <v>78</v>
      </c>
      <c r="G839">
        <v>7.7</v>
      </c>
      <c r="H839">
        <v>84</v>
      </c>
      <c r="I839" t="s">
        <v>1487</v>
      </c>
      <c r="J839" s="3">
        <v>114427</v>
      </c>
      <c r="K839" s="3" t="str">
        <f t="shared" ref="K839:K902" si="57">IF(G839&lt;7.9, "Don't Watch", IF(G839&gt;8, "Must Watch", "Maybe"))</f>
        <v>Don't Watch</v>
      </c>
      <c r="L839" s="3" t="str">
        <f t="shared" si="54"/>
        <v>Don't Watch</v>
      </c>
      <c r="M839" s="3"/>
      <c r="N839" s="3" t="str">
        <f t="shared" si="55"/>
        <v>Maybe</v>
      </c>
      <c r="O839" t="s">
        <v>2294</v>
      </c>
      <c r="P839" t="b">
        <f t="shared" si="56"/>
        <v>0</v>
      </c>
    </row>
    <row r="840" spans="1:16" x14ac:dyDescent="0.25">
      <c r="A840">
        <v>839</v>
      </c>
      <c r="B840" t="s">
        <v>2295</v>
      </c>
      <c r="C840" t="s">
        <v>2296</v>
      </c>
      <c r="D840" t="s">
        <v>74</v>
      </c>
      <c r="E840" t="s">
        <v>561</v>
      </c>
      <c r="F840" t="s">
        <v>672</v>
      </c>
      <c r="G840">
        <v>7.7</v>
      </c>
      <c r="H840">
        <v>77</v>
      </c>
      <c r="I840" t="s">
        <v>607</v>
      </c>
      <c r="J840" s="3">
        <v>290985</v>
      </c>
      <c r="K840" s="3" t="str">
        <f t="shared" si="57"/>
        <v>Don't Watch</v>
      </c>
      <c r="L840" s="3" t="str">
        <f t="shared" si="54"/>
        <v>Don't Watch</v>
      </c>
      <c r="M840" s="3"/>
      <c r="N840" s="3" t="str">
        <f t="shared" si="55"/>
        <v>Maybe</v>
      </c>
      <c r="O840" t="s">
        <v>2297</v>
      </c>
      <c r="P840" t="b">
        <f t="shared" si="56"/>
        <v>0</v>
      </c>
    </row>
    <row r="841" spans="1:16" x14ac:dyDescent="0.25">
      <c r="A841">
        <v>840</v>
      </c>
      <c r="B841" t="s">
        <v>2298</v>
      </c>
      <c r="C841">
        <v>-1994</v>
      </c>
      <c r="D841" t="s">
        <v>49</v>
      </c>
      <c r="E841" t="s">
        <v>409</v>
      </c>
      <c r="F841" t="s">
        <v>177</v>
      </c>
      <c r="G841">
        <v>7.7</v>
      </c>
      <c r="H841">
        <v>81</v>
      </c>
      <c r="I841" t="s">
        <v>2299</v>
      </c>
      <c r="J841" s="3">
        <v>36314</v>
      </c>
      <c r="K841" s="3" t="str">
        <f t="shared" si="57"/>
        <v>Don't Watch</v>
      </c>
      <c r="L841" s="3" t="str">
        <f t="shared" si="54"/>
        <v>Don't Watch</v>
      </c>
      <c r="M841" s="3"/>
      <c r="N841" s="3" t="str">
        <f t="shared" si="55"/>
        <v>Maybe</v>
      </c>
      <c r="O841" t="s">
        <v>2300</v>
      </c>
      <c r="P841" t="b">
        <f t="shared" si="56"/>
        <v>0</v>
      </c>
    </row>
    <row r="842" spans="1:16" x14ac:dyDescent="0.25">
      <c r="A842">
        <v>841</v>
      </c>
      <c r="B842" t="s">
        <v>2301</v>
      </c>
      <c r="C842">
        <v>-1994</v>
      </c>
      <c r="D842">
        <v>18</v>
      </c>
      <c r="E842" t="s">
        <v>827</v>
      </c>
      <c r="F842" t="s">
        <v>1287</v>
      </c>
      <c r="G842">
        <v>7.7</v>
      </c>
      <c r="H842">
        <v>70</v>
      </c>
      <c r="I842" t="s">
        <v>2302</v>
      </c>
      <c r="J842" s="3">
        <v>220452</v>
      </c>
      <c r="K842" s="3" t="str">
        <f t="shared" si="57"/>
        <v>Don't Watch</v>
      </c>
      <c r="L842" s="3" t="str">
        <f t="shared" si="54"/>
        <v>Don't Watch</v>
      </c>
      <c r="M842" s="3"/>
      <c r="N842" s="3" t="str">
        <f t="shared" si="55"/>
        <v>Maybe</v>
      </c>
      <c r="O842" t="s">
        <v>2303</v>
      </c>
      <c r="P842" t="b">
        <f t="shared" si="56"/>
        <v>0</v>
      </c>
    </row>
    <row r="843" spans="1:16" x14ac:dyDescent="0.25">
      <c r="A843">
        <v>842</v>
      </c>
      <c r="B843" t="s">
        <v>2304</v>
      </c>
      <c r="C843">
        <v>-1993</v>
      </c>
      <c r="D843">
        <v>12</v>
      </c>
      <c r="E843" t="s">
        <v>143</v>
      </c>
      <c r="F843" t="s">
        <v>20</v>
      </c>
      <c r="G843">
        <v>7.7</v>
      </c>
      <c r="H843">
        <v>73</v>
      </c>
      <c r="I843" t="s">
        <v>825</v>
      </c>
      <c r="J843" s="3">
        <v>234288</v>
      </c>
      <c r="K843" s="3" t="str">
        <f t="shared" si="57"/>
        <v>Don't Watch</v>
      </c>
      <c r="L843" s="3" t="str">
        <f t="shared" si="54"/>
        <v>Don't Watch</v>
      </c>
      <c r="M843" s="3"/>
      <c r="N843" s="3" t="str">
        <f t="shared" si="55"/>
        <v>Maybe</v>
      </c>
      <c r="O843" t="s">
        <v>2305</v>
      </c>
      <c r="P843" t="b">
        <f t="shared" si="56"/>
        <v>0</v>
      </c>
    </row>
    <row r="844" spans="1:16" x14ac:dyDescent="0.25">
      <c r="A844">
        <v>843</v>
      </c>
      <c r="B844" t="s">
        <v>2306</v>
      </c>
      <c r="C844">
        <v>-1993</v>
      </c>
      <c r="D844">
        <v>18</v>
      </c>
      <c r="E844" t="s">
        <v>951</v>
      </c>
      <c r="F844" t="s">
        <v>304</v>
      </c>
      <c r="G844">
        <v>7.7</v>
      </c>
      <c r="H844">
        <v>79</v>
      </c>
      <c r="I844" t="s">
        <v>2307</v>
      </c>
      <c r="J844" s="3">
        <v>44726</v>
      </c>
      <c r="K844" s="3" t="str">
        <f t="shared" si="57"/>
        <v>Don't Watch</v>
      </c>
      <c r="L844" s="3" t="str">
        <f t="shared" si="54"/>
        <v>Don't Watch</v>
      </c>
      <c r="M844" s="3"/>
      <c r="N844" s="3" t="str">
        <f t="shared" si="55"/>
        <v>Maybe</v>
      </c>
      <c r="O844" t="s">
        <v>2308</v>
      </c>
      <c r="P844" t="b">
        <f t="shared" si="56"/>
        <v>0</v>
      </c>
    </row>
    <row r="845" spans="1:16" x14ac:dyDescent="0.25">
      <c r="A845">
        <v>844</v>
      </c>
      <c r="B845" t="s">
        <v>2309</v>
      </c>
      <c r="C845">
        <v>-1993</v>
      </c>
      <c r="D845">
        <v>12</v>
      </c>
      <c r="E845" t="s">
        <v>119</v>
      </c>
      <c r="F845" t="s">
        <v>20</v>
      </c>
      <c r="G845">
        <v>7.7</v>
      </c>
      <c r="H845">
        <v>66</v>
      </c>
      <c r="I845" t="s">
        <v>145</v>
      </c>
      <c r="J845" s="3">
        <v>239182</v>
      </c>
      <c r="K845" s="3" t="str">
        <f t="shared" si="57"/>
        <v>Don't Watch</v>
      </c>
      <c r="L845" s="3" t="str">
        <f t="shared" si="54"/>
        <v>Don't Watch</v>
      </c>
      <c r="M845" s="3"/>
      <c r="N845" s="3" t="str">
        <f t="shared" si="55"/>
        <v>Maybe</v>
      </c>
      <c r="O845" t="s">
        <v>2310</v>
      </c>
      <c r="P845" t="b">
        <f t="shared" si="56"/>
        <v>0</v>
      </c>
    </row>
    <row r="846" spans="1:16" x14ac:dyDescent="0.25">
      <c r="A846">
        <v>845</v>
      </c>
      <c r="B846" t="s">
        <v>2311</v>
      </c>
      <c r="C846">
        <v>-1993</v>
      </c>
      <c r="D846">
        <v>18</v>
      </c>
      <c r="E846" t="s">
        <v>388</v>
      </c>
      <c r="F846" t="s">
        <v>304</v>
      </c>
      <c r="G846">
        <v>7.7</v>
      </c>
      <c r="H846">
        <v>85</v>
      </c>
      <c r="I846" t="s">
        <v>1229</v>
      </c>
      <c r="J846" s="3">
        <v>39051</v>
      </c>
      <c r="K846" s="3" t="str">
        <f t="shared" si="57"/>
        <v>Don't Watch</v>
      </c>
      <c r="L846" s="3" t="str">
        <f t="shared" si="54"/>
        <v>Don't Watch</v>
      </c>
      <c r="M846" s="3"/>
      <c r="N846" s="3" t="str">
        <f t="shared" si="55"/>
        <v>Maybe</v>
      </c>
      <c r="O846" t="s">
        <v>2312</v>
      </c>
      <c r="P846" t="b">
        <f t="shared" si="56"/>
        <v>0</v>
      </c>
    </row>
    <row r="847" spans="1:16" x14ac:dyDescent="0.25">
      <c r="A847">
        <v>846</v>
      </c>
      <c r="B847" t="s">
        <v>2313</v>
      </c>
      <c r="C847">
        <v>-1992</v>
      </c>
      <c r="D847" t="s">
        <v>49</v>
      </c>
      <c r="E847" t="s">
        <v>991</v>
      </c>
      <c r="F847" t="s">
        <v>508</v>
      </c>
      <c r="G847">
        <v>7.7</v>
      </c>
      <c r="H847">
        <v>64</v>
      </c>
      <c r="I847" t="s">
        <v>2314</v>
      </c>
      <c r="J847" s="3">
        <v>57762</v>
      </c>
      <c r="K847" s="3" t="str">
        <f t="shared" si="57"/>
        <v>Don't Watch</v>
      </c>
      <c r="L847" s="3" t="str">
        <f t="shared" si="54"/>
        <v>Don't Watch</v>
      </c>
      <c r="M847" s="3"/>
      <c r="N847" s="3" t="str">
        <f t="shared" si="55"/>
        <v>Maybe</v>
      </c>
      <c r="O847" t="s">
        <v>2315</v>
      </c>
      <c r="P847" t="b">
        <f t="shared" si="56"/>
        <v>0</v>
      </c>
    </row>
    <row r="848" spans="1:16" x14ac:dyDescent="0.25">
      <c r="A848">
        <v>847</v>
      </c>
      <c r="B848" t="s">
        <v>2316</v>
      </c>
      <c r="C848">
        <v>-1992</v>
      </c>
      <c r="D848">
        <v>15</v>
      </c>
      <c r="E848" t="s">
        <v>46</v>
      </c>
      <c r="F848" t="s">
        <v>42</v>
      </c>
      <c r="G848">
        <v>7.7</v>
      </c>
      <c r="H848">
        <v>73</v>
      </c>
      <c r="I848" t="s">
        <v>1581</v>
      </c>
      <c r="J848" s="3">
        <v>93738</v>
      </c>
      <c r="K848" s="3" t="str">
        <f t="shared" si="57"/>
        <v>Don't Watch</v>
      </c>
      <c r="L848" s="3" t="str">
        <f t="shared" si="54"/>
        <v>Don't Watch</v>
      </c>
      <c r="M848" s="3"/>
      <c r="N848" s="3" t="str">
        <f t="shared" si="55"/>
        <v>Maybe</v>
      </c>
      <c r="O848" t="s">
        <v>2317</v>
      </c>
      <c r="P848" t="b">
        <f t="shared" si="56"/>
        <v>0</v>
      </c>
    </row>
    <row r="849" spans="1:16" x14ac:dyDescent="0.25">
      <c r="A849">
        <v>848</v>
      </c>
      <c r="B849" t="s">
        <v>2318</v>
      </c>
      <c r="C849">
        <v>-1992</v>
      </c>
      <c r="D849">
        <v>12</v>
      </c>
      <c r="E849" t="s">
        <v>176</v>
      </c>
      <c r="F849" t="s">
        <v>37</v>
      </c>
      <c r="G849">
        <v>7.7</v>
      </c>
      <c r="H849">
        <v>76</v>
      </c>
      <c r="I849" t="s">
        <v>433</v>
      </c>
      <c r="J849" s="3">
        <v>166945</v>
      </c>
      <c r="K849" s="3" t="str">
        <f t="shared" si="57"/>
        <v>Don't Watch</v>
      </c>
      <c r="L849" s="3" t="str">
        <f t="shared" si="54"/>
        <v>Don't Watch</v>
      </c>
      <c r="M849" s="3"/>
      <c r="N849" s="3" t="str">
        <f t="shared" si="55"/>
        <v>Maybe</v>
      </c>
      <c r="O849" t="s">
        <v>2319</v>
      </c>
      <c r="P849" t="b">
        <f t="shared" si="56"/>
        <v>0</v>
      </c>
    </row>
    <row r="850" spans="1:16" x14ac:dyDescent="0.25">
      <c r="A850">
        <v>849</v>
      </c>
      <c r="B850" t="s">
        <v>2320</v>
      </c>
      <c r="C850">
        <v>-1992</v>
      </c>
      <c r="D850">
        <v>18</v>
      </c>
      <c r="E850" t="s">
        <v>477</v>
      </c>
      <c r="F850" t="s">
        <v>1175</v>
      </c>
      <c r="G850">
        <v>7.7</v>
      </c>
      <c r="I850" t="s">
        <v>1941</v>
      </c>
      <c r="J850" s="3">
        <v>50240</v>
      </c>
      <c r="K850" s="3" t="str">
        <f t="shared" si="57"/>
        <v>Don't Watch</v>
      </c>
      <c r="L850" s="3" t="str">
        <f t="shared" si="54"/>
        <v>Don't Watch</v>
      </c>
      <c r="M850" s="3"/>
      <c r="N850" s="3" t="str">
        <f t="shared" si="55"/>
        <v>Maybe</v>
      </c>
      <c r="P850" t="b">
        <f t="shared" si="56"/>
        <v>0</v>
      </c>
    </row>
    <row r="851" spans="1:16" x14ac:dyDescent="0.25">
      <c r="A851">
        <v>850</v>
      </c>
      <c r="B851" t="s">
        <v>2321</v>
      </c>
      <c r="C851">
        <v>-1992</v>
      </c>
      <c r="D851" t="s">
        <v>74</v>
      </c>
      <c r="E851" t="s">
        <v>1057</v>
      </c>
      <c r="F851" t="s">
        <v>292</v>
      </c>
      <c r="G851">
        <v>7.7</v>
      </c>
      <c r="H851">
        <v>83</v>
      </c>
      <c r="I851" t="s">
        <v>121</v>
      </c>
      <c r="J851" s="3">
        <v>87890</v>
      </c>
      <c r="K851" s="3" t="str">
        <f t="shared" si="57"/>
        <v>Don't Watch</v>
      </c>
      <c r="L851" s="3" t="str">
        <f t="shared" si="54"/>
        <v>Don't Watch</v>
      </c>
      <c r="M851" s="3"/>
      <c r="N851" s="3" t="str">
        <f t="shared" si="55"/>
        <v>Maybe</v>
      </c>
      <c r="P851" t="b">
        <f t="shared" si="56"/>
        <v>0</v>
      </c>
    </row>
    <row r="852" spans="1:16" x14ac:dyDescent="0.25">
      <c r="A852">
        <v>851</v>
      </c>
      <c r="B852" t="s">
        <v>2322</v>
      </c>
      <c r="C852">
        <v>-1992</v>
      </c>
      <c r="D852">
        <v>15</v>
      </c>
      <c r="E852" t="s">
        <v>613</v>
      </c>
      <c r="F852" t="s">
        <v>56</v>
      </c>
      <c r="G852">
        <v>7.7</v>
      </c>
      <c r="H852">
        <v>82</v>
      </c>
      <c r="I852" t="s">
        <v>2323</v>
      </c>
      <c r="J852" s="3">
        <v>104277</v>
      </c>
      <c r="K852" s="3" t="str">
        <f t="shared" si="57"/>
        <v>Don't Watch</v>
      </c>
      <c r="L852" s="3" t="str">
        <f t="shared" si="54"/>
        <v>Don't Watch</v>
      </c>
      <c r="M852" s="3"/>
      <c r="N852" s="3" t="str">
        <f t="shared" si="55"/>
        <v>Maybe</v>
      </c>
      <c r="O852" t="s">
        <v>2324</v>
      </c>
      <c r="P852" t="b">
        <f t="shared" si="56"/>
        <v>0</v>
      </c>
    </row>
    <row r="853" spans="1:16" x14ac:dyDescent="0.25">
      <c r="A853">
        <v>852</v>
      </c>
      <c r="B853" t="s">
        <v>2325</v>
      </c>
      <c r="C853">
        <v>-1992</v>
      </c>
      <c r="D853">
        <v>15</v>
      </c>
      <c r="E853" t="s">
        <v>515</v>
      </c>
      <c r="F853" t="s">
        <v>756</v>
      </c>
      <c r="G853">
        <v>7.7</v>
      </c>
      <c r="H853">
        <v>62</v>
      </c>
      <c r="I853" t="s">
        <v>935</v>
      </c>
      <c r="J853" s="3">
        <v>259782</v>
      </c>
      <c r="K853" s="3" t="str">
        <f t="shared" si="57"/>
        <v>Don't Watch</v>
      </c>
      <c r="L853" s="3" t="str">
        <f t="shared" si="54"/>
        <v>Don't Watch</v>
      </c>
      <c r="M853" s="3"/>
      <c r="N853" s="3" t="str">
        <f t="shared" si="55"/>
        <v>Maybe</v>
      </c>
      <c r="O853" t="s">
        <v>2326</v>
      </c>
      <c r="P853" t="b">
        <f t="shared" si="56"/>
        <v>0</v>
      </c>
    </row>
    <row r="854" spans="1:16" x14ac:dyDescent="0.25">
      <c r="A854">
        <v>853</v>
      </c>
      <c r="B854" t="s">
        <v>2327</v>
      </c>
      <c r="C854">
        <v>-1991</v>
      </c>
      <c r="D854">
        <v>15</v>
      </c>
      <c r="E854" t="s">
        <v>452</v>
      </c>
      <c r="F854" t="s">
        <v>304</v>
      </c>
      <c r="G854">
        <v>7.7</v>
      </c>
      <c r="H854">
        <v>68</v>
      </c>
      <c r="I854" t="s">
        <v>2328</v>
      </c>
      <c r="J854" s="3">
        <v>60169</v>
      </c>
      <c r="K854" s="3" t="str">
        <f t="shared" si="57"/>
        <v>Don't Watch</v>
      </c>
      <c r="L854" s="3" t="str">
        <f t="shared" si="54"/>
        <v>Don't Watch</v>
      </c>
      <c r="M854" s="3"/>
      <c r="N854" s="3" t="str">
        <f t="shared" si="55"/>
        <v>Maybe</v>
      </c>
      <c r="O854" t="s">
        <v>2329</v>
      </c>
      <c r="P854" t="b">
        <f t="shared" si="56"/>
        <v>0</v>
      </c>
    </row>
    <row r="855" spans="1:16" x14ac:dyDescent="0.25">
      <c r="A855">
        <v>854</v>
      </c>
      <c r="B855" t="s">
        <v>2330</v>
      </c>
      <c r="C855">
        <v>-1991</v>
      </c>
      <c r="D855">
        <v>12</v>
      </c>
      <c r="E855" t="s">
        <v>108</v>
      </c>
      <c r="F855" t="s">
        <v>20</v>
      </c>
      <c r="G855">
        <v>7.7</v>
      </c>
      <c r="H855">
        <v>64</v>
      </c>
      <c r="I855" t="s">
        <v>2331</v>
      </c>
      <c r="J855" s="3">
        <v>74053</v>
      </c>
      <c r="K855" s="3" t="str">
        <f t="shared" si="57"/>
        <v>Don't Watch</v>
      </c>
      <c r="L855" s="3" t="str">
        <f t="shared" si="54"/>
        <v>Don't Watch</v>
      </c>
      <c r="M855" s="3"/>
      <c r="N855" s="3" t="str">
        <f t="shared" si="55"/>
        <v>Maybe</v>
      </c>
      <c r="O855" t="s">
        <v>2332</v>
      </c>
      <c r="P855" t="b">
        <f t="shared" si="56"/>
        <v>0</v>
      </c>
    </row>
    <row r="856" spans="1:16" x14ac:dyDescent="0.25">
      <c r="A856">
        <v>855</v>
      </c>
      <c r="B856" t="s">
        <v>2333</v>
      </c>
      <c r="C856">
        <v>-1991</v>
      </c>
      <c r="D856">
        <v>15</v>
      </c>
      <c r="E856" t="s">
        <v>313</v>
      </c>
      <c r="F856" t="s">
        <v>1281</v>
      </c>
      <c r="G856">
        <v>7.7</v>
      </c>
      <c r="H856">
        <v>86</v>
      </c>
      <c r="I856" t="s">
        <v>911</v>
      </c>
      <c r="J856" s="3">
        <v>48120</v>
      </c>
      <c r="K856" s="3" t="str">
        <f t="shared" si="57"/>
        <v>Don't Watch</v>
      </c>
      <c r="L856" s="3" t="str">
        <f t="shared" si="54"/>
        <v>Don't Watch</v>
      </c>
      <c r="M856" s="3"/>
      <c r="N856" s="3" t="str">
        <f t="shared" si="55"/>
        <v>Maybe</v>
      </c>
      <c r="O856" t="s">
        <v>1393</v>
      </c>
      <c r="P856" t="b">
        <f t="shared" si="56"/>
        <v>0</v>
      </c>
    </row>
    <row r="857" spans="1:16" x14ac:dyDescent="0.25">
      <c r="A857">
        <v>856</v>
      </c>
      <c r="B857" t="s">
        <v>2334</v>
      </c>
      <c r="C857">
        <v>-1990</v>
      </c>
      <c r="D857" t="s">
        <v>74</v>
      </c>
      <c r="E857" t="s">
        <v>202</v>
      </c>
      <c r="F857" t="s">
        <v>1011</v>
      </c>
      <c r="G857">
        <v>7.7</v>
      </c>
      <c r="I857" t="s">
        <v>157</v>
      </c>
      <c r="J857" s="3">
        <v>26281</v>
      </c>
      <c r="K857" s="3" t="str">
        <f t="shared" si="57"/>
        <v>Don't Watch</v>
      </c>
      <c r="L857" s="3" t="str">
        <f t="shared" si="54"/>
        <v>Don't Watch</v>
      </c>
      <c r="M857" s="3"/>
      <c r="N857" s="3" t="str">
        <f t="shared" si="55"/>
        <v>Maybe</v>
      </c>
      <c r="O857" t="s">
        <v>2335</v>
      </c>
      <c r="P857" t="b">
        <f t="shared" si="56"/>
        <v>0</v>
      </c>
    </row>
    <row r="858" spans="1:16" x14ac:dyDescent="0.25">
      <c r="A858">
        <v>857</v>
      </c>
      <c r="B858" t="s">
        <v>2336</v>
      </c>
      <c r="C858">
        <v>-1990</v>
      </c>
      <c r="D858">
        <v>18</v>
      </c>
      <c r="E858" t="s">
        <v>342</v>
      </c>
      <c r="F858" t="s">
        <v>144</v>
      </c>
      <c r="G858">
        <v>7.7</v>
      </c>
      <c r="H858">
        <v>66</v>
      </c>
      <c r="I858" t="s">
        <v>893</v>
      </c>
      <c r="J858" s="3">
        <v>134434</v>
      </c>
      <c r="K858" s="3" t="str">
        <f t="shared" si="57"/>
        <v>Don't Watch</v>
      </c>
      <c r="L858" s="3" t="str">
        <f t="shared" si="54"/>
        <v>Don't Watch</v>
      </c>
      <c r="M858" s="3"/>
      <c r="N858" s="3" t="str">
        <f t="shared" si="55"/>
        <v>Maybe</v>
      </c>
      <c r="O858" t="s">
        <v>2337</v>
      </c>
      <c r="P858" t="b">
        <f t="shared" si="56"/>
        <v>0</v>
      </c>
    </row>
    <row r="859" spans="1:16" x14ac:dyDescent="0.25">
      <c r="A859">
        <v>858</v>
      </c>
      <c r="B859" t="s">
        <v>2338</v>
      </c>
      <c r="C859">
        <v>-1990</v>
      </c>
      <c r="D859" t="s">
        <v>74</v>
      </c>
      <c r="E859" t="s">
        <v>403</v>
      </c>
      <c r="F859" t="s">
        <v>1595</v>
      </c>
      <c r="G859">
        <v>7.7</v>
      </c>
      <c r="H859">
        <v>63</v>
      </c>
      <c r="I859" t="s">
        <v>2339</v>
      </c>
      <c r="J859" s="3">
        <v>555207</v>
      </c>
      <c r="K859" s="3" t="str">
        <f t="shared" si="57"/>
        <v>Don't Watch</v>
      </c>
      <c r="L859" s="3" t="str">
        <f t="shared" si="54"/>
        <v>Don't Watch</v>
      </c>
      <c r="M859" s="3"/>
      <c r="N859" s="3" t="str">
        <f t="shared" si="55"/>
        <v>Maybe</v>
      </c>
      <c r="O859" t="s">
        <v>2340</v>
      </c>
      <c r="P859" t="b">
        <f t="shared" si="56"/>
        <v>0</v>
      </c>
    </row>
    <row r="860" spans="1:16" x14ac:dyDescent="0.25">
      <c r="A860">
        <v>859</v>
      </c>
      <c r="B860" t="s">
        <v>2341</v>
      </c>
      <c r="C860">
        <v>-1989</v>
      </c>
      <c r="D860">
        <v>15</v>
      </c>
      <c r="E860" t="s">
        <v>356</v>
      </c>
      <c r="F860" t="s">
        <v>132</v>
      </c>
      <c r="G860">
        <v>7.7</v>
      </c>
      <c r="H860">
        <v>76</v>
      </c>
      <c r="I860" t="s">
        <v>935</v>
      </c>
      <c r="J860" s="3">
        <v>215623</v>
      </c>
      <c r="K860" s="3" t="str">
        <f t="shared" si="57"/>
        <v>Don't Watch</v>
      </c>
      <c r="L860" s="3" t="str">
        <f t="shared" si="54"/>
        <v>Don't Watch</v>
      </c>
      <c r="M860" s="3"/>
      <c r="N860" s="3" t="str">
        <f t="shared" si="55"/>
        <v>Maybe</v>
      </c>
      <c r="O860" t="s">
        <v>2342</v>
      </c>
      <c r="P860" t="b">
        <f t="shared" si="56"/>
        <v>0</v>
      </c>
    </row>
    <row r="861" spans="1:16" x14ac:dyDescent="0.25">
      <c r="A861">
        <v>860</v>
      </c>
      <c r="B861" t="s">
        <v>2343</v>
      </c>
      <c r="C861">
        <v>-1988</v>
      </c>
      <c r="D861" t="s">
        <v>74</v>
      </c>
      <c r="E861" t="s">
        <v>418</v>
      </c>
      <c r="F861" t="s">
        <v>292</v>
      </c>
      <c r="G861">
        <v>7.7</v>
      </c>
      <c r="H861">
        <v>83</v>
      </c>
      <c r="I861" t="s">
        <v>79</v>
      </c>
      <c r="J861" s="3">
        <v>198429</v>
      </c>
      <c r="K861" s="3" t="str">
        <f t="shared" si="57"/>
        <v>Don't Watch</v>
      </c>
      <c r="L861" s="3" t="str">
        <f t="shared" si="54"/>
        <v>Don't Watch</v>
      </c>
      <c r="M861" s="3"/>
      <c r="N861" s="3" t="str">
        <f t="shared" si="55"/>
        <v>Maybe</v>
      </c>
      <c r="O861" t="s">
        <v>2344</v>
      </c>
      <c r="P861" t="b">
        <f t="shared" si="56"/>
        <v>0</v>
      </c>
    </row>
    <row r="862" spans="1:16" x14ac:dyDescent="0.25">
      <c r="A862">
        <v>861</v>
      </c>
      <c r="B862" t="s">
        <v>2345</v>
      </c>
      <c r="C862">
        <v>-1988</v>
      </c>
      <c r="D862">
        <v>12</v>
      </c>
      <c r="E862" t="s">
        <v>493</v>
      </c>
      <c r="F862" t="s">
        <v>246</v>
      </c>
      <c r="G862">
        <v>7.7</v>
      </c>
      <c r="I862" t="s">
        <v>2346</v>
      </c>
      <c r="J862" s="3">
        <v>38540</v>
      </c>
      <c r="K862" s="3" t="str">
        <f t="shared" si="57"/>
        <v>Don't Watch</v>
      </c>
      <c r="L862" s="3" t="str">
        <f t="shared" si="54"/>
        <v>Don't Watch</v>
      </c>
      <c r="M862" s="3"/>
      <c r="N862" s="3" t="str">
        <f t="shared" si="55"/>
        <v>Maybe</v>
      </c>
      <c r="P862" t="b">
        <f t="shared" si="56"/>
        <v>0</v>
      </c>
    </row>
    <row r="863" spans="1:16" x14ac:dyDescent="0.25">
      <c r="A863">
        <v>862</v>
      </c>
      <c r="B863" t="s">
        <v>2347</v>
      </c>
      <c r="C863">
        <v>-1987</v>
      </c>
      <c r="D863">
        <v>15</v>
      </c>
      <c r="E863" t="s">
        <v>537</v>
      </c>
      <c r="F863" t="s">
        <v>42</v>
      </c>
      <c r="G863">
        <v>7.7</v>
      </c>
      <c r="H863">
        <v>76</v>
      </c>
      <c r="I863" t="s">
        <v>1618</v>
      </c>
      <c r="J863" s="3">
        <v>102277</v>
      </c>
      <c r="K863" s="3" t="str">
        <f t="shared" si="57"/>
        <v>Don't Watch</v>
      </c>
      <c r="L863" s="3" t="str">
        <f t="shared" si="54"/>
        <v>Don't Watch</v>
      </c>
      <c r="M863" s="3"/>
      <c r="N863" s="3" t="str">
        <f t="shared" si="55"/>
        <v>Maybe</v>
      </c>
      <c r="O863" t="s">
        <v>2348</v>
      </c>
      <c r="P863" t="b">
        <f t="shared" si="56"/>
        <v>0</v>
      </c>
    </row>
    <row r="864" spans="1:16" x14ac:dyDescent="0.25">
      <c r="A864">
        <v>863</v>
      </c>
      <c r="B864" t="s">
        <v>2349</v>
      </c>
      <c r="C864">
        <v>-1987</v>
      </c>
      <c r="D864">
        <v>18</v>
      </c>
      <c r="E864" t="s">
        <v>1251</v>
      </c>
      <c r="F864" t="s">
        <v>1500</v>
      </c>
      <c r="G864">
        <v>7.7</v>
      </c>
      <c r="H864">
        <v>72</v>
      </c>
      <c r="I864" t="s">
        <v>2350</v>
      </c>
      <c r="J864" s="3">
        <v>161947</v>
      </c>
      <c r="K864" s="3" t="str">
        <f t="shared" si="57"/>
        <v>Don't Watch</v>
      </c>
      <c r="L864" s="3" t="str">
        <f t="shared" si="54"/>
        <v>Don't Watch</v>
      </c>
      <c r="M864" s="3"/>
      <c r="N864" s="3" t="str">
        <f t="shared" si="55"/>
        <v>Maybe</v>
      </c>
      <c r="O864" t="s">
        <v>2351</v>
      </c>
      <c r="P864" t="b">
        <f t="shared" si="56"/>
        <v>0</v>
      </c>
    </row>
    <row r="865" spans="1:16" x14ac:dyDescent="0.25">
      <c r="A865">
        <v>864</v>
      </c>
      <c r="B865" t="s">
        <v>2352</v>
      </c>
      <c r="C865">
        <v>-1987</v>
      </c>
      <c r="D865" t="s">
        <v>74</v>
      </c>
      <c r="E865" t="s">
        <v>86</v>
      </c>
      <c r="F865" t="s">
        <v>1602</v>
      </c>
      <c r="G865">
        <v>7.7</v>
      </c>
      <c r="H865">
        <v>62</v>
      </c>
      <c r="I865" t="s">
        <v>43</v>
      </c>
      <c r="J865" s="3">
        <v>124416</v>
      </c>
      <c r="K865" s="3" t="str">
        <f t="shared" si="57"/>
        <v>Don't Watch</v>
      </c>
      <c r="L865" s="3" t="str">
        <f t="shared" si="54"/>
        <v>Don't Watch</v>
      </c>
      <c r="M865" s="3"/>
      <c r="N865" s="3" t="str">
        <f t="shared" si="55"/>
        <v>Maybe</v>
      </c>
      <c r="O865" t="s">
        <v>1283</v>
      </c>
      <c r="P865" t="b">
        <f t="shared" si="56"/>
        <v>0</v>
      </c>
    </row>
    <row r="866" spans="1:16" x14ac:dyDescent="0.25">
      <c r="A866">
        <v>865</v>
      </c>
      <c r="B866" t="s">
        <v>2353</v>
      </c>
      <c r="C866">
        <v>-1986</v>
      </c>
      <c r="D866">
        <v>18</v>
      </c>
      <c r="E866" t="s">
        <v>108</v>
      </c>
      <c r="F866" t="s">
        <v>2354</v>
      </c>
      <c r="G866">
        <v>7.7</v>
      </c>
      <c r="H866">
        <v>54</v>
      </c>
      <c r="I866" t="s">
        <v>2355</v>
      </c>
      <c r="J866" s="3">
        <v>107975</v>
      </c>
      <c r="K866" s="3" t="str">
        <f t="shared" si="57"/>
        <v>Don't Watch</v>
      </c>
      <c r="L866" s="3" t="str">
        <f t="shared" si="54"/>
        <v>Don't Watch</v>
      </c>
      <c r="M866" s="3"/>
      <c r="N866" s="3" t="str">
        <f t="shared" si="55"/>
        <v>Maybe</v>
      </c>
      <c r="O866" t="s">
        <v>2356</v>
      </c>
      <c r="P866" t="b">
        <f t="shared" si="56"/>
        <v>0</v>
      </c>
    </row>
    <row r="867" spans="1:16" x14ac:dyDescent="0.25">
      <c r="A867">
        <v>866</v>
      </c>
      <c r="B867" t="s">
        <v>2357</v>
      </c>
      <c r="C867">
        <v>-1986</v>
      </c>
      <c r="D867">
        <v>15</v>
      </c>
      <c r="E867" t="s">
        <v>493</v>
      </c>
      <c r="F867" t="s">
        <v>453</v>
      </c>
      <c r="G867">
        <v>7.7</v>
      </c>
      <c r="H867">
        <v>75</v>
      </c>
      <c r="I867" t="s">
        <v>2328</v>
      </c>
      <c r="J867" s="3">
        <v>51378</v>
      </c>
      <c r="K867" s="3" t="str">
        <f t="shared" si="57"/>
        <v>Don't Watch</v>
      </c>
      <c r="L867" s="3" t="str">
        <f t="shared" si="54"/>
        <v>Don't Watch</v>
      </c>
      <c r="M867" s="3"/>
      <c r="N867" s="3" t="str">
        <f t="shared" si="55"/>
        <v>Maybe</v>
      </c>
      <c r="O867" t="s">
        <v>2358</v>
      </c>
      <c r="P867" t="b">
        <f t="shared" si="56"/>
        <v>0</v>
      </c>
    </row>
    <row r="868" spans="1:16" x14ac:dyDescent="0.25">
      <c r="A868">
        <v>867</v>
      </c>
      <c r="B868" t="s">
        <v>2359</v>
      </c>
      <c r="C868">
        <v>-1986</v>
      </c>
      <c r="D868">
        <v>18</v>
      </c>
      <c r="E868" t="s">
        <v>811</v>
      </c>
      <c r="F868" t="s">
        <v>56</v>
      </c>
      <c r="G868">
        <v>7.7</v>
      </c>
      <c r="H868">
        <v>76</v>
      </c>
      <c r="I868" t="s">
        <v>653</v>
      </c>
      <c r="J868" s="3">
        <v>196273</v>
      </c>
      <c r="K868" s="3" t="str">
        <f t="shared" si="57"/>
        <v>Don't Watch</v>
      </c>
      <c r="L868" s="3" t="str">
        <f t="shared" si="54"/>
        <v>Don't Watch</v>
      </c>
      <c r="M868" s="3"/>
      <c r="N868" s="3" t="str">
        <f t="shared" si="55"/>
        <v>Maybe</v>
      </c>
      <c r="O868" t="s">
        <v>2360</v>
      </c>
      <c r="P868" t="b">
        <f t="shared" si="56"/>
        <v>0</v>
      </c>
    </row>
    <row r="869" spans="1:16" x14ac:dyDescent="0.25">
      <c r="A869">
        <v>868</v>
      </c>
      <c r="B869" t="s">
        <v>2361</v>
      </c>
      <c r="C869">
        <v>-1985</v>
      </c>
      <c r="D869" t="s">
        <v>74</v>
      </c>
      <c r="E869" t="s">
        <v>1591</v>
      </c>
      <c r="F869" t="s">
        <v>2115</v>
      </c>
      <c r="G869">
        <v>7.7</v>
      </c>
      <c r="H869">
        <v>75</v>
      </c>
      <c r="I869" t="s">
        <v>1294</v>
      </c>
      <c r="J869" s="3">
        <v>51397</v>
      </c>
      <c r="K869" s="3" t="str">
        <f t="shared" si="57"/>
        <v>Don't Watch</v>
      </c>
      <c r="L869" s="3" t="str">
        <f t="shared" si="54"/>
        <v>Don't Watch</v>
      </c>
      <c r="M869" s="3"/>
      <c r="N869" s="3" t="str">
        <f t="shared" si="55"/>
        <v>Maybe</v>
      </c>
      <c r="O869" t="s">
        <v>2362</v>
      </c>
      <c r="P869" t="b">
        <f t="shared" si="56"/>
        <v>0</v>
      </c>
    </row>
    <row r="870" spans="1:16" x14ac:dyDescent="0.25">
      <c r="A870">
        <v>869</v>
      </c>
      <c r="B870" t="s">
        <v>2363</v>
      </c>
      <c r="C870">
        <v>-1985</v>
      </c>
      <c r="D870">
        <v>12</v>
      </c>
      <c r="E870" t="s">
        <v>655</v>
      </c>
      <c r="F870" t="s">
        <v>1724</v>
      </c>
      <c r="G870">
        <v>7.7</v>
      </c>
      <c r="H870">
        <v>62</v>
      </c>
      <c r="I870" t="s">
        <v>2364</v>
      </c>
      <c r="J870" s="3">
        <v>267453</v>
      </c>
      <c r="K870" s="3" t="str">
        <f t="shared" si="57"/>
        <v>Don't Watch</v>
      </c>
      <c r="L870" s="3" t="str">
        <f t="shared" si="54"/>
        <v>Don't Watch</v>
      </c>
      <c r="M870" s="3"/>
      <c r="N870" s="3" t="str">
        <f t="shared" si="55"/>
        <v>Maybe</v>
      </c>
      <c r="O870" t="s">
        <v>2365</v>
      </c>
      <c r="P870" t="b">
        <f t="shared" si="56"/>
        <v>0</v>
      </c>
    </row>
    <row r="871" spans="1:16" x14ac:dyDescent="0.25">
      <c r="A871">
        <v>870</v>
      </c>
      <c r="B871" t="s">
        <v>2366</v>
      </c>
      <c r="C871">
        <v>-1985</v>
      </c>
      <c r="D871">
        <v>15</v>
      </c>
      <c r="E871" t="s">
        <v>59</v>
      </c>
      <c r="F871" t="s">
        <v>20</v>
      </c>
      <c r="G871">
        <v>7.7</v>
      </c>
      <c r="H871">
        <v>78</v>
      </c>
      <c r="I871" t="s">
        <v>43</v>
      </c>
      <c r="J871" s="3">
        <v>85908</v>
      </c>
      <c r="K871" s="3" t="str">
        <f t="shared" si="57"/>
        <v>Don't Watch</v>
      </c>
      <c r="L871" s="3" t="str">
        <f t="shared" si="54"/>
        <v>Don't Watch</v>
      </c>
      <c r="M871" s="3"/>
      <c r="N871" s="3" t="str">
        <f t="shared" si="55"/>
        <v>Maybe</v>
      </c>
      <c r="O871" t="s">
        <v>2367</v>
      </c>
      <c r="P871" t="b">
        <f t="shared" si="56"/>
        <v>0</v>
      </c>
    </row>
    <row r="872" spans="1:16" x14ac:dyDescent="0.25">
      <c r="A872">
        <v>871</v>
      </c>
      <c r="B872" t="s">
        <v>2368</v>
      </c>
      <c r="C872">
        <v>-1983</v>
      </c>
      <c r="D872" t="s">
        <v>74</v>
      </c>
      <c r="E872" t="s">
        <v>2369</v>
      </c>
      <c r="F872" t="s">
        <v>1287</v>
      </c>
      <c r="G872">
        <v>7.7</v>
      </c>
      <c r="I872" t="s">
        <v>1294</v>
      </c>
      <c r="J872" s="3">
        <v>41966</v>
      </c>
      <c r="K872" s="3" t="str">
        <f t="shared" si="57"/>
        <v>Don't Watch</v>
      </c>
      <c r="L872" s="3" t="str">
        <f t="shared" si="54"/>
        <v>Don't Watch</v>
      </c>
      <c r="M872" s="3"/>
      <c r="N872" s="3" t="str">
        <f t="shared" si="55"/>
        <v>Maybe</v>
      </c>
      <c r="O872" t="s">
        <v>2370</v>
      </c>
      <c r="P872" t="b">
        <f t="shared" si="56"/>
        <v>0</v>
      </c>
    </row>
    <row r="873" spans="1:16" x14ac:dyDescent="0.25">
      <c r="A873">
        <v>872</v>
      </c>
      <c r="B873" t="s">
        <v>2371</v>
      </c>
      <c r="C873">
        <v>-1982</v>
      </c>
      <c r="D873" t="s">
        <v>236</v>
      </c>
      <c r="E873" t="s">
        <v>452</v>
      </c>
      <c r="F873" t="s">
        <v>20</v>
      </c>
      <c r="G873">
        <v>7.7</v>
      </c>
      <c r="H873">
        <v>77</v>
      </c>
      <c r="I873" t="s">
        <v>51</v>
      </c>
      <c r="J873" s="3">
        <v>40044</v>
      </c>
      <c r="K873" s="3" t="str">
        <f t="shared" si="57"/>
        <v>Don't Watch</v>
      </c>
      <c r="L873" s="3" t="str">
        <f t="shared" si="54"/>
        <v>Don't Watch</v>
      </c>
      <c r="M873" s="3"/>
      <c r="N873" s="3" t="str">
        <f t="shared" si="55"/>
        <v>Maybe</v>
      </c>
      <c r="O873" t="s">
        <v>2372</v>
      </c>
      <c r="P873" t="b">
        <f t="shared" si="56"/>
        <v>0</v>
      </c>
    </row>
    <row r="874" spans="1:16" x14ac:dyDescent="0.25">
      <c r="A874">
        <v>873</v>
      </c>
      <c r="B874" t="s">
        <v>2373</v>
      </c>
      <c r="C874">
        <v>-1982</v>
      </c>
      <c r="D874" t="s">
        <v>30</v>
      </c>
      <c r="E874" t="s">
        <v>325</v>
      </c>
      <c r="F874" t="s">
        <v>64</v>
      </c>
      <c r="G874">
        <v>7.7</v>
      </c>
      <c r="H874">
        <v>67</v>
      </c>
      <c r="I874" t="s">
        <v>2374</v>
      </c>
      <c r="J874" s="3">
        <v>120276</v>
      </c>
      <c r="K874" s="3" t="str">
        <f t="shared" si="57"/>
        <v>Don't Watch</v>
      </c>
      <c r="L874" s="3" t="str">
        <f t="shared" si="54"/>
        <v>Don't Watch</v>
      </c>
      <c r="M874" s="3"/>
      <c r="N874" s="3" t="str">
        <f t="shared" si="55"/>
        <v>Maybe</v>
      </c>
      <c r="O874" t="s">
        <v>2375</v>
      </c>
      <c r="P874" t="b">
        <f t="shared" si="56"/>
        <v>0</v>
      </c>
    </row>
    <row r="875" spans="1:16" x14ac:dyDescent="0.25">
      <c r="A875">
        <v>874</v>
      </c>
      <c r="B875" t="s">
        <v>2376</v>
      </c>
      <c r="C875">
        <v>-1982</v>
      </c>
      <c r="D875">
        <v>15</v>
      </c>
      <c r="E875" t="s">
        <v>823</v>
      </c>
      <c r="F875" t="s">
        <v>1171</v>
      </c>
      <c r="G875">
        <v>7.7</v>
      </c>
      <c r="H875">
        <v>61</v>
      </c>
      <c r="I875" t="s">
        <v>2377</v>
      </c>
      <c r="J875" s="3">
        <v>247789</v>
      </c>
      <c r="K875" s="3" t="str">
        <f t="shared" si="57"/>
        <v>Don't Watch</v>
      </c>
      <c r="L875" s="3" t="str">
        <f t="shared" si="54"/>
        <v>Don't Watch</v>
      </c>
      <c r="M875" s="3"/>
      <c r="N875" s="3" t="str">
        <f t="shared" si="55"/>
        <v>Maybe</v>
      </c>
      <c r="O875" t="s">
        <v>2378</v>
      </c>
      <c r="P875" t="b">
        <f t="shared" si="56"/>
        <v>0</v>
      </c>
    </row>
    <row r="876" spans="1:16" x14ac:dyDescent="0.25">
      <c r="A876">
        <v>875</v>
      </c>
      <c r="B876" t="s">
        <v>2379</v>
      </c>
      <c r="C876">
        <v>-1980</v>
      </c>
      <c r="D876" t="s">
        <v>236</v>
      </c>
      <c r="E876" t="s">
        <v>99</v>
      </c>
      <c r="F876" t="s">
        <v>20</v>
      </c>
      <c r="G876">
        <v>7.7</v>
      </c>
      <c r="H876">
        <v>86</v>
      </c>
      <c r="I876" t="s">
        <v>2380</v>
      </c>
      <c r="J876" s="3">
        <v>51819</v>
      </c>
      <c r="K876" s="3" t="str">
        <f t="shared" si="57"/>
        <v>Don't Watch</v>
      </c>
      <c r="L876" s="3" t="str">
        <f t="shared" si="54"/>
        <v>Don't Watch</v>
      </c>
      <c r="M876" s="3"/>
      <c r="N876" s="3" t="str">
        <f t="shared" si="55"/>
        <v>Maybe</v>
      </c>
      <c r="O876" t="s">
        <v>2381</v>
      </c>
      <c r="P876" t="b">
        <f t="shared" si="56"/>
        <v>0</v>
      </c>
    </row>
    <row r="877" spans="1:16" x14ac:dyDescent="0.25">
      <c r="A877">
        <v>876</v>
      </c>
      <c r="B877" t="s">
        <v>2382</v>
      </c>
      <c r="C877">
        <v>-1980</v>
      </c>
      <c r="D877" t="s">
        <v>155</v>
      </c>
      <c r="E877" t="s">
        <v>213</v>
      </c>
      <c r="F877" t="s">
        <v>1287</v>
      </c>
      <c r="G877">
        <v>7.7</v>
      </c>
      <c r="H877">
        <v>78</v>
      </c>
      <c r="I877" t="s">
        <v>2383</v>
      </c>
      <c r="J877" s="3">
        <v>235048</v>
      </c>
      <c r="K877" s="3" t="str">
        <f t="shared" si="57"/>
        <v>Don't Watch</v>
      </c>
      <c r="L877" s="3" t="str">
        <f t="shared" si="54"/>
        <v>Don't Watch</v>
      </c>
      <c r="M877" s="3"/>
      <c r="N877" s="3" t="str">
        <f t="shared" si="55"/>
        <v>Maybe</v>
      </c>
      <c r="O877" t="s">
        <v>2384</v>
      </c>
      <c r="P877" t="b">
        <f t="shared" si="56"/>
        <v>0</v>
      </c>
    </row>
    <row r="878" spans="1:16" x14ac:dyDescent="0.25">
      <c r="A878">
        <v>877</v>
      </c>
      <c r="B878" t="s">
        <v>2385</v>
      </c>
      <c r="C878">
        <v>-1978</v>
      </c>
      <c r="D878" t="s">
        <v>24</v>
      </c>
      <c r="E878" t="s">
        <v>658</v>
      </c>
      <c r="F878" t="s">
        <v>1979</v>
      </c>
      <c r="G878">
        <v>7.7</v>
      </c>
      <c r="H878">
        <v>87</v>
      </c>
      <c r="I878" t="s">
        <v>648</v>
      </c>
      <c r="J878" s="3">
        <v>267420</v>
      </c>
      <c r="K878" s="3" t="str">
        <f t="shared" si="57"/>
        <v>Don't Watch</v>
      </c>
      <c r="L878" s="3" t="str">
        <f t="shared" si="54"/>
        <v>Don't Watch</v>
      </c>
      <c r="M878" s="3"/>
      <c r="N878" s="3" t="str">
        <f t="shared" si="55"/>
        <v>Maybe</v>
      </c>
      <c r="O878" t="s">
        <v>2386</v>
      </c>
      <c r="P878" t="b">
        <f t="shared" si="56"/>
        <v>0</v>
      </c>
    </row>
    <row r="879" spans="1:16" x14ac:dyDescent="0.25">
      <c r="A879">
        <v>878</v>
      </c>
      <c r="B879" t="s">
        <v>2387</v>
      </c>
      <c r="C879">
        <v>-1975</v>
      </c>
      <c r="D879" t="s">
        <v>236</v>
      </c>
      <c r="E879" t="s">
        <v>260</v>
      </c>
      <c r="F879" t="s">
        <v>1066</v>
      </c>
      <c r="G879">
        <v>7.7</v>
      </c>
      <c r="H879">
        <v>96</v>
      </c>
      <c r="I879" t="s">
        <v>2307</v>
      </c>
      <c r="J879" s="3">
        <v>26192</v>
      </c>
      <c r="K879" s="3" t="str">
        <f t="shared" si="57"/>
        <v>Don't Watch</v>
      </c>
      <c r="L879" s="3" t="str">
        <f t="shared" si="54"/>
        <v>Don't Watch</v>
      </c>
      <c r="M879" s="3"/>
      <c r="N879" s="3" t="str">
        <f t="shared" si="55"/>
        <v>Maybe</v>
      </c>
      <c r="O879" t="s">
        <v>2388</v>
      </c>
      <c r="P879" t="b">
        <f t="shared" si="56"/>
        <v>0</v>
      </c>
    </row>
    <row r="880" spans="1:16" x14ac:dyDescent="0.25">
      <c r="A880">
        <v>879</v>
      </c>
      <c r="B880" t="s">
        <v>2389</v>
      </c>
      <c r="C880">
        <v>-1975</v>
      </c>
      <c r="D880" t="s">
        <v>155</v>
      </c>
      <c r="E880" t="s">
        <v>991</v>
      </c>
      <c r="F880" t="s">
        <v>357</v>
      </c>
      <c r="G880">
        <v>7.7</v>
      </c>
      <c r="H880">
        <v>89</v>
      </c>
      <c r="I880" t="s">
        <v>1294</v>
      </c>
      <c r="J880" s="3">
        <v>38402</v>
      </c>
      <c r="K880" s="3" t="str">
        <f t="shared" si="57"/>
        <v>Don't Watch</v>
      </c>
      <c r="L880" s="3" t="str">
        <f t="shared" si="54"/>
        <v>Don't Watch</v>
      </c>
      <c r="M880" s="3"/>
      <c r="N880" s="3" t="str">
        <f t="shared" si="55"/>
        <v>Maybe</v>
      </c>
      <c r="P880" t="b">
        <f t="shared" si="56"/>
        <v>0</v>
      </c>
    </row>
    <row r="881" spans="1:16" x14ac:dyDescent="0.25">
      <c r="A881">
        <v>880</v>
      </c>
      <c r="B881" t="s">
        <v>2390</v>
      </c>
      <c r="C881">
        <v>-1974</v>
      </c>
      <c r="D881" t="s">
        <v>236</v>
      </c>
      <c r="E881" t="s">
        <v>823</v>
      </c>
      <c r="F881" t="s">
        <v>2391</v>
      </c>
      <c r="G881">
        <v>7.7</v>
      </c>
      <c r="H881">
        <v>73</v>
      </c>
      <c r="I881" t="s">
        <v>1301</v>
      </c>
      <c r="J881" s="3">
        <v>137421</v>
      </c>
      <c r="K881" s="3" t="str">
        <f t="shared" si="57"/>
        <v>Don't Watch</v>
      </c>
      <c r="L881" s="3" t="str">
        <f t="shared" si="54"/>
        <v>Don't Watch</v>
      </c>
      <c r="M881" s="3"/>
      <c r="N881" s="3" t="str">
        <f t="shared" si="55"/>
        <v>Maybe</v>
      </c>
      <c r="O881" t="s">
        <v>2392</v>
      </c>
      <c r="P881" t="b">
        <f t="shared" si="56"/>
        <v>0</v>
      </c>
    </row>
    <row r="882" spans="1:16" x14ac:dyDescent="0.25">
      <c r="A882">
        <v>881</v>
      </c>
      <c r="B882" t="s">
        <v>2393</v>
      </c>
      <c r="C882">
        <v>-1973</v>
      </c>
      <c r="D882" t="s">
        <v>24</v>
      </c>
      <c r="E882" t="s">
        <v>108</v>
      </c>
      <c r="F882" t="s">
        <v>95</v>
      </c>
      <c r="G882">
        <v>7.7</v>
      </c>
      <c r="H882">
        <v>81</v>
      </c>
      <c r="I882" t="s">
        <v>51</v>
      </c>
      <c r="J882" s="3">
        <v>121415</v>
      </c>
      <c r="K882" s="3" t="str">
        <f t="shared" si="57"/>
        <v>Don't Watch</v>
      </c>
      <c r="L882" s="3" t="str">
        <f t="shared" si="54"/>
        <v>Don't Watch</v>
      </c>
      <c r="M882" s="3"/>
      <c r="N882" s="3" t="str">
        <f t="shared" si="55"/>
        <v>Maybe</v>
      </c>
      <c r="O882" t="s">
        <v>2394</v>
      </c>
      <c r="P882" t="b">
        <f t="shared" si="56"/>
        <v>0</v>
      </c>
    </row>
    <row r="883" spans="1:16" x14ac:dyDescent="0.25">
      <c r="A883">
        <v>882</v>
      </c>
      <c r="B883" t="s">
        <v>2395</v>
      </c>
      <c r="C883">
        <v>-1973</v>
      </c>
      <c r="D883" t="s">
        <v>155</v>
      </c>
      <c r="E883" t="s">
        <v>1054</v>
      </c>
      <c r="F883" t="s">
        <v>2396</v>
      </c>
      <c r="G883">
        <v>7.7</v>
      </c>
      <c r="H883">
        <v>73</v>
      </c>
      <c r="I883" t="s">
        <v>2397</v>
      </c>
      <c r="J883" s="3">
        <v>30778</v>
      </c>
      <c r="K883" s="3" t="str">
        <f t="shared" si="57"/>
        <v>Don't Watch</v>
      </c>
      <c r="L883" s="3" t="str">
        <f t="shared" si="54"/>
        <v>Don't Watch</v>
      </c>
      <c r="M883" s="3"/>
      <c r="N883" s="3" t="str">
        <f t="shared" si="55"/>
        <v>Maybe</v>
      </c>
      <c r="O883" t="s">
        <v>1880</v>
      </c>
      <c r="P883" t="b">
        <f t="shared" si="56"/>
        <v>0</v>
      </c>
    </row>
    <row r="884" spans="1:16" x14ac:dyDescent="0.25">
      <c r="A884">
        <v>883</v>
      </c>
      <c r="B884" t="s">
        <v>2398</v>
      </c>
      <c r="C884">
        <v>-1973</v>
      </c>
      <c r="D884" t="s">
        <v>24</v>
      </c>
      <c r="E884" t="s">
        <v>1057</v>
      </c>
      <c r="F884" t="s">
        <v>32</v>
      </c>
      <c r="G884">
        <v>7.7</v>
      </c>
      <c r="H884">
        <v>93</v>
      </c>
      <c r="I884" t="s">
        <v>1977</v>
      </c>
      <c r="J884" s="3">
        <v>72380</v>
      </c>
      <c r="K884" s="3" t="str">
        <f t="shared" si="57"/>
        <v>Don't Watch</v>
      </c>
      <c r="L884" s="3" t="str">
        <f t="shared" si="54"/>
        <v>Don't Watch</v>
      </c>
      <c r="M884" s="3"/>
      <c r="N884" s="3" t="str">
        <f t="shared" si="55"/>
        <v>Maybe</v>
      </c>
      <c r="P884" t="b">
        <f t="shared" si="56"/>
        <v>0</v>
      </c>
    </row>
    <row r="885" spans="1:16" x14ac:dyDescent="0.25">
      <c r="A885">
        <v>884</v>
      </c>
      <c r="B885" t="s">
        <v>2399</v>
      </c>
      <c r="C885">
        <v>-1972</v>
      </c>
      <c r="D885">
        <v>18</v>
      </c>
      <c r="E885" t="s">
        <v>241</v>
      </c>
      <c r="F885" t="s">
        <v>688</v>
      </c>
      <c r="G885">
        <v>7.7</v>
      </c>
      <c r="H885">
        <v>80</v>
      </c>
      <c r="I885" t="s">
        <v>2400</v>
      </c>
      <c r="J885" s="3">
        <v>107344</v>
      </c>
      <c r="K885" s="3" t="str">
        <f t="shared" si="57"/>
        <v>Don't Watch</v>
      </c>
      <c r="L885" s="3" t="str">
        <f t="shared" si="54"/>
        <v>Don't Watch</v>
      </c>
      <c r="M885" s="3"/>
      <c r="N885" s="3" t="str">
        <f t="shared" si="55"/>
        <v>Maybe</v>
      </c>
      <c r="O885" t="s">
        <v>2401</v>
      </c>
      <c r="P885" t="b">
        <f t="shared" si="56"/>
        <v>0</v>
      </c>
    </row>
    <row r="886" spans="1:16" x14ac:dyDescent="0.25">
      <c r="A886">
        <v>885</v>
      </c>
      <c r="B886" t="s">
        <v>2402</v>
      </c>
      <c r="C886">
        <v>-1972</v>
      </c>
      <c r="D886" t="s">
        <v>24</v>
      </c>
      <c r="E886" t="s">
        <v>99</v>
      </c>
      <c r="F886" t="s">
        <v>1973</v>
      </c>
      <c r="G886">
        <v>7.7</v>
      </c>
      <c r="H886">
        <v>80</v>
      </c>
      <c r="I886" t="s">
        <v>1974</v>
      </c>
      <c r="J886" s="3">
        <v>54495</v>
      </c>
      <c r="K886" s="3" t="str">
        <f t="shared" si="57"/>
        <v>Don't Watch</v>
      </c>
      <c r="L886" s="3" t="str">
        <f t="shared" si="54"/>
        <v>Don't Watch</v>
      </c>
      <c r="M886" s="3"/>
      <c r="N886" s="3" t="str">
        <f t="shared" si="55"/>
        <v>Maybe</v>
      </c>
      <c r="O886" t="s">
        <v>2403</v>
      </c>
      <c r="P886" t="b">
        <f t="shared" si="56"/>
        <v>0</v>
      </c>
    </row>
    <row r="887" spans="1:16" x14ac:dyDescent="0.25">
      <c r="A887">
        <v>886</v>
      </c>
      <c r="B887" t="s">
        <v>2404</v>
      </c>
      <c r="C887">
        <v>-1971</v>
      </c>
      <c r="D887" t="s">
        <v>24</v>
      </c>
      <c r="E887" t="s">
        <v>418</v>
      </c>
      <c r="F887" t="s">
        <v>32</v>
      </c>
      <c r="G887">
        <v>7.7</v>
      </c>
      <c r="H887">
        <v>94</v>
      </c>
      <c r="I887" t="s">
        <v>983</v>
      </c>
      <c r="J887" s="3">
        <v>121400</v>
      </c>
      <c r="K887" s="3" t="str">
        <f t="shared" si="57"/>
        <v>Don't Watch</v>
      </c>
      <c r="L887" s="3" t="str">
        <f t="shared" si="54"/>
        <v>Don't Watch</v>
      </c>
      <c r="M887" s="3"/>
      <c r="N887" s="3" t="str">
        <f t="shared" si="55"/>
        <v>Maybe</v>
      </c>
      <c r="O887" t="s">
        <v>2405</v>
      </c>
      <c r="P887" t="b">
        <f t="shared" si="56"/>
        <v>0</v>
      </c>
    </row>
    <row r="888" spans="1:16" x14ac:dyDescent="0.25">
      <c r="A888">
        <v>887</v>
      </c>
      <c r="B888" t="s">
        <v>2406</v>
      </c>
      <c r="C888">
        <v>-1971</v>
      </c>
      <c r="D888" t="s">
        <v>24</v>
      </c>
      <c r="E888" t="s">
        <v>249</v>
      </c>
      <c r="F888" t="s">
        <v>1175</v>
      </c>
      <c r="G888">
        <v>7.7</v>
      </c>
      <c r="H888">
        <v>87</v>
      </c>
      <c r="I888" t="s">
        <v>2407</v>
      </c>
      <c r="J888" s="3">
        <v>154777</v>
      </c>
      <c r="K888" s="3" t="str">
        <f t="shared" si="57"/>
        <v>Don't Watch</v>
      </c>
      <c r="L888" s="3" t="str">
        <f t="shared" si="54"/>
        <v>Don't Watch</v>
      </c>
      <c r="M888" s="3"/>
      <c r="N888" s="3" t="str">
        <f t="shared" si="55"/>
        <v>Maybe</v>
      </c>
      <c r="O888" t="s">
        <v>2408</v>
      </c>
      <c r="P888" t="b">
        <f t="shared" si="56"/>
        <v>0</v>
      </c>
    </row>
    <row r="889" spans="1:16" x14ac:dyDescent="0.25">
      <c r="A889">
        <v>888</v>
      </c>
      <c r="B889" t="s">
        <v>2409</v>
      </c>
      <c r="C889">
        <v>-1967</v>
      </c>
      <c r="D889" t="s">
        <v>24</v>
      </c>
      <c r="E889" t="s">
        <v>409</v>
      </c>
      <c r="F889" t="s">
        <v>2410</v>
      </c>
      <c r="G889">
        <v>7.7</v>
      </c>
      <c r="H889">
        <v>81</v>
      </c>
      <c r="I889" t="s">
        <v>2411</v>
      </c>
      <c r="J889" s="3">
        <v>30454</v>
      </c>
      <c r="K889" s="3" t="str">
        <f t="shared" si="57"/>
        <v>Don't Watch</v>
      </c>
      <c r="L889" s="3" t="str">
        <f t="shared" si="54"/>
        <v>Don't Watch</v>
      </c>
      <c r="M889" s="3"/>
      <c r="N889" s="3" t="str">
        <f t="shared" si="55"/>
        <v>Maybe</v>
      </c>
      <c r="O889" t="s">
        <v>2412</v>
      </c>
      <c r="P889" t="b">
        <f t="shared" si="56"/>
        <v>0</v>
      </c>
    </row>
    <row r="890" spans="1:16" x14ac:dyDescent="0.25">
      <c r="A890">
        <v>889</v>
      </c>
      <c r="B890" t="s">
        <v>2413</v>
      </c>
      <c r="C890">
        <v>-1967</v>
      </c>
      <c r="D890" t="s">
        <v>24</v>
      </c>
      <c r="E890" t="s">
        <v>193</v>
      </c>
      <c r="F890" t="s">
        <v>2414</v>
      </c>
      <c r="G890">
        <v>7.7</v>
      </c>
      <c r="H890">
        <v>73</v>
      </c>
      <c r="I890" t="s">
        <v>1338</v>
      </c>
      <c r="J890" s="3">
        <v>72478</v>
      </c>
      <c r="K890" s="3" t="str">
        <f t="shared" si="57"/>
        <v>Don't Watch</v>
      </c>
      <c r="L890" s="3" t="str">
        <f t="shared" si="54"/>
        <v>Don't Watch</v>
      </c>
      <c r="M890" s="3"/>
      <c r="N890" s="3" t="str">
        <f t="shared" si="55"/>
        <v>Maybe</v>
      </c>
      <c r="O890" t="s">
        <v>2415</v>
      </c>
      <c r="P890" t="b">
        <f t="shared" si="56"/>
        <v>0</v>
      </c>
    </row>
    <row r="891" spans="1:16" x14ac:dyDescent="0.25">
      <c r="A891">
        <v>890</v>
      </c>
      <c r="B891" t="s">
        <v>2416</v>
      </c>
      <c r="C891">
        <v>-1967</v>
      </c>
      <c r="D891" t="s">
        <v>24</v>
      </c>
      <c r="E891" t="s">
        <v>610</v>
      </c>
      <c r="F891" t="s">
        <v>553</v>
      </c>
      <c r="G891">
        <v>7.7</v>
      </c>
      <c r="H891">
        <v>86</v>
      </c>
      <c r="I891" t="s">
        <v>2417</v>
      </c>
      <c r="J891" s="3">
        <v>111858</v>
      </c>
      <c r="K891" s="3" t="str">
        <f t="shared" si="57"/>
        <v>Don't Watch</v>
      </c>
      <c r="L891" s="3" t="str">
        <f t="shared" si="54"/>
        <v>Don't Watch</v>
      </c>
      <c r="M891" s="3"/>
      <c r="N891" s="3" t="str">
        <f t="shared" si="55"/>
        <v>Maybe</v>
      </c>
      <c r="P891" t="b">
        <f t="shared" si="56"/>
        <v>0</v>
      </c>
    </row>
    <row r="892" spans="1:16" x14ac:dyDescent="0.25">
      <c r="A892">
        <v>891</v>
      </c>
      <c r="B892" t="s">
        <v>2418</v>
      </c>
      <c r="C892">
        <v>-1967</v>
      </c>
      <c r="D892" t="s">
        <v>24</v>
      </c>
      <c r="E892" t="s">
        <v>613</v>
      </c>
      <c r="F892" t="s">
        <v>78</v>
      </c>
      <c r="G892">
        <v>7.7</v>
      </c>
      <c r="I892" t="s">
        <v>1335</v>
      </c>
      <c r="J892" s="3">
        <v>44120</v>
      </c>
      <c r="K892" s="3" t="str">
        <f t="shared" si="57"/>
        <v>Don't Watch</v>
      </c>
      <c r="L892" s="3" t="str">
        <f t="shared" si="54"/>
        <v>Don't Watch</v>
      </c>
      <c r="M892" s="3"/>
      <c r="N892" s="3" t="str">
        <f t="shared" si="55"/>
        <v>Maybe</v>
      </c>
      <c r="O892" t="s">
        <v>502</v>
      </c>
      <c r="P892" t="b">
        <f t="shared" si="56"/>
        <v>0</v>
      </c>
    </row>
    <row r="893" spans="1:16" x14ac:dyDescent="0.25">
      <c r="A893">
        <v>892</v>
      </c>
      <c r="B893" t="s">
        <v>2419</v>
      </c>
      <c r="C893">
        <v>-1966</v>
      </c>
      <c r="D893" t="s">
        <v>49</v>
      </c>
      <c r="E893" t="s">
        <v>811</v>
      </c>
      <c r="F893" t="s">
        <v>42</v>
      </c>
      <c r="G893">
        <v>7.7</v>
      </c>
      <c r="H893">
        <v>72</v>
      </c>
      <c r="I893" t="s">
        <v>1366</v>
      </c>
      <c r="J893" s="3">
        <v>34420</v>
      </c>
      <c r="K893" s="3" t="str">
        <f t="shared" si="57"/>
        <v>Don't Watch</v>
      </c>
      <c r="L893" s="3" t="str">
        <f t="shared" si="54"/>
        <v>Don't Watch</v>
      </c>
      <c r="M893" s="3"/>
      <c r="N893" s="3" t="str">
        <f t="shared" si="55"/>
        <v>Maybe</v>
      </c>
      <c r="O893" t="s">
        <v>2420</v>
      </c>
      <c r="P893" t="b">
        <f t="shared" si="56"/>
        <v>0</v>
      </c>
    </row>
    <row r="894" spans="1:16" x14ac:dyDescent="0.25">
      <c r="A894">
        <v>893</v>
      </c>
      <c r="B894" t="s">
        <v>2421</v>
      </c>
      <c r="C894">
        <v>-1964</v>
      </c>
      <c r="D894" t="s">
        <v>74</v>
      </c>
      <c r="E894" t="s">
        <v>515</v>
      </c>
      <c r="F894" t="s">
        <v>1602</v>
      </c>
      <c r="G894">
        <v>7.7</v>
      </c>
      <c r="H894">
        <v>77</v>
      </c>
      <c r="I894" t="s">
        <v>2422</v>
      </c>
      <c r="J894" s="3">
        <v>39050</v>
      </c>
      <c r="K894" s="3" t="str">
        <f t="shared" si="57"/>
        <v>Don't Watch</v>
      </c>
      <c r="L894" s="3" t="str">
        <f t="shared" si="54"/>
        <v>Don't Watch</v>
      </c>
      <c r="M894" s="3"/>
      <c r="N894" s="3" t="str">
        <f t="shared" si="55"/>
        <v>Maybe</v>
      </c>
      <c r="P894" t="b">
        <f t="shared" si="56"/>
        <v>0</v>
      </c>
    </row>
    <row r="895" spans="1:16" x14ac:dyDescent="0.25">
      <c r="A895">
        <v>894</v>
      </c>
      <c r="B895" t="s">
        <v>2423</v>
      </c>
      <c r="C895">
        <v>-1964</v>
      </c>
      <c r="D895" t="s">
        <v>74</v>
      </c>
      <c r="E895" t="s">
        <v>209</v>
      </c>
      <c r="F895" t="s">
        <v>1171</v>
      </c>
      <c r="G895">
        <v>7.7</v>
      </c>
      <c r="H895">
        <v>87</v>
      </c>
      <c r="I895" t="s">
        <v>2424</v>
      </c>
      <c r="J895" s="3">
        <v>188360</v>
      </c>
      <c r="K895" s="3" t="str">
        <f t="shared" si="57"/>
        <v>Don't Watch</v>
      </c>
      <c r="L895" s="3" t="str">
        <f t="shared" si="54"/>
        <v>Don't Watch</v>
      </c>
      <c r="M895" s="3"/>
      <c r="N895" s="3" t="str">
        <f t="shared" si="55"/>
        <v>Maybe</v>
      </c>
      <c r="O895" t="s">
        <v>2425</v>
      </c>
      <c r="P895" t="b">
        <f t="shared" si="56"/>
        <v>0</v>
      </c>
    </row>
    <row r="896" spans="1:16" x14ac:dyDescent="0.25">
      <c r="A896">
        <v>895</v>
      </c>
      <c r="B896" t="s">
        <v>2426</v>
      </c>
      <c r="C896">
        <v>-1962</v>
      </c>
      <c r="D896" t="s">
        <v>155</v>
      </c>
      <c r="E896" t="s">
        <v>75</v>
      </c>
      <c r="F896" t="s">
        <v>516</v>
      </c>
      <c r="G896">
        <v>7.7</v>
      </c>
      <c r="H896">
        <v>75</v>
      </c>
      <c r="I896" t="s">
        <v>2427</v>
      </c>
      <c r="J896" s="3">
        <v>55628</v>
      </c>
      <c r="K896" s="3" t="str">
        <f t="shared" si="57"/>
        <v>Don't Watch</v>
      </c>
      <c r="L896" s="3" t="str">
        <f t="shared" si="54"/>
        <v>Don't Watch</v>
      </c>
      <c r="M896" s="3"/>
      <c r="N896" s="3" t="str">
        <f t="shared" si="55"/>
        <v>Maybe</v>
      </c>
      <c r="O896" t="s">
        <v>2428</v>
      </c>
      <c r="P896" t="b">
        <f t="shared" si="56"/>
        <v>0</v>
      </c>
    </row>
    <row r="897" spans="1:16" x14ac:dyDescent="0.25">
      <c r="A897">
        <v>896</v>
      </c>
      <c r="B897" t="s">
        <v>2429</v>
      </c>
      <c r="C897">
        <v>-1962</v>
      </c>
      <c r="D897" t="s">
        <v>24</v>
      </c>
      <c r="E897" t="s">
        <v>171</v>
      </c>
      <c r="F897" t="s">
        <v>756</v>
      </c>
      <c r="G897">
        <v>7.7</v>
      </c>
      <c r="H897">
        <v>76</v>
      </c>
      <c r="I897" t="s">
        <v>2430</v>
      </c>
      <c r="J897" s="3">
        <v>29043</v>
      </c>
      <c r="K897" s="3" t="str">
        <f t="shared" si="57"/>
        <v>Don't Watch</v>
      </c>
      <c r="L897" s="3" t="str">
        <f t="shared" si="54"/>
        <v>Don't Watch</v>
      </c>
      <c r="M897" s="3"/>
      <c r="N897" s="3" t="str">
        <f t="shared" si="55"/>
        <v>Maybe</v>
      </c>
      <c r="P897" t="b">
        <f t="shared" si="56"/>
        <v>0</v>
      </c>
    </row>
    <row r="898" spans="1:16" x14ac:dyDescent="0.25">
      <c r="A898">
        <v>897</v>
      </c>
      <c r="B898" t="s">
        <v>2431</v>
      </c>
      <c r="C898">
        <v>-1962</v>
      </c>
      <c r="D898" t="s">
        <v>24</v>
      </c>
      <c r="E898" t="s">
        <v>291</v>
      </c>
      <c r="F898" t="s">
        <v>78</v>
      </c>
      <c r="G898">
        <v>7.7</v>
      </c>
      <c r="H898">
        <v>97</v>
      </c>
      <c r="I898" t="s">
        <v>1003</v>
      </c>
      <c r="J898" s="3">
        <v>41167</v>
      </c>
      <c r="K898" s="3" t="str">
        <f t="shared" si="57"/>
        <v>Don't Watch</v>
      </c>
      <c r="L898" s="3" t="str">
        <f t="shared" si="54"/>
        <v>Don't Watch</v>
      </c>
      <c r="M898" s="3"/>
      <c r="N898" s="3" t="str">
        <f t="shared" si="55"/>
        <v>Maybe</v>
      </c>
      <c r="P898" t="b">
        <f t="shared" si="56"/>
        <v>0</v>
      </c>
    </row>
    <row r="899" spans="1:16" x14ac:dyDescent="0.25">
      <c r="A899">
        <v>898</v>
      </c>
      <c r="B899" t="s">
        <v>2432</v>
      </c>
      <c r="C899">
        <v>-1960</v>
      </c>
      <c r="D899" t="s">
        <v>49</v>
      </c>
      <c r="E899" t="s">
        <v>477</v>
      </c>
      <c r="F899" t="s">
        <v>1620</v>
      </c>
      <c r="G899">
        <v>7.7</v>
      </c>
      <c r="H899">
        <v>74</v>
      </c>
      <c r="I899" t="s">
        <v>673</v>
      </c>
      <c r="J899" s="3">
        <v>94218</v>
      </c>
      <c r="K899" s="3" t="str">
        <f t="shared" si="57"/>
        <v>Don't Watch</v>
      </c>
      <c r="L899" s="3" t="str">
        <f t="shared" ref="L899:L962" si="58">IF(G899=9,"Must Watch",IF(G899=8,"Maybe","Don't Watch"))</f>
        <v>Don't Watch</v>
      </c>
      <c r="M899" s="3"/>
      <c r="N899" s="3" t="str">
        <f t="shared" ref="N899:N962" si="59">IF(I899="Billy Wilder", "Must Watch", IF(I899="John Ford", "Watch", "Maybe"))</f>
        <v>Maybe</v>
      </c>
      <c r="O899" t="s">
        <v>2433</v>
      </c>
      <c r="P899" t="b">
        <f t="shared" ref="P899:P962" si="60">ISNUMBER(B:B)</f>
        <v>0</v>
      </c>
    </row>
    <row r="900" spans="1:16" x14ac:dyDescent="0.25">
      <c r="A900">
        <v>899</v>
      </c>
      <c r="B900" t="s">
        <v>2434</v>
      </c>
      <c r="C900">
        <v>-1960</v>
      </c>
      <c r="D900" t="s">
        <v>24</v>
      </c>
      <c r="E900" t="s">
        <v>1244</v>
      </c>
      <c r="F900" t="s">
        <v>26</v>
      </c>
      <c r="G900">
        <v>7.7</v>
      </c>
      <c r="I900" t="s">
        <v>1640</v>
      </c>
      <c r="J900" s="3">
        <v>80234</v>
      </c>
      <c r="K900" s="3" t="str">
        <f t="shared" si="57"/>
        <v>Don't Watch</v>
      </c>
      <c r="L900" s="3" t="str">
        <f t="shared" si="58"/>
        <v>Don't Watch</v>
      </c>
      <c r="M900" s="3"/>
      <c r="N900" s="3" t="str">
        <f t="shared" si="59"/>
        <v>Maybe</v>
      </c>
      <c r="O900" t="s">
        <v>736</v>
      </c>
      <c r="P900" t="b">
        <f t="shared" si="60"/>
        <v>0</v>
      </c>
    </row>
    <row r="901" spans="1:16" x14ac:dyDescent="0.25">
      <c r="A901">
        <v>900</v>
      </c>
      <c r="B901" t="s">
        <v>2435</v>
      </c>
      <c r="C901">
        <v>-1956</v>
      </c>
      <c r="D901" t="s">
        <v>74</v>
      </c>
      <c r="E901" t="s">
        <v>851</v>
      </c>
      <c r="F901" t="s">
        <v>2039</v>
      </c>
      <c r="G901">
        <v>7.7</v>
      </c>
      <c r="H901">
        <v>92</v>
      </c>
      <c r="I901" t="s">
        <v>2407</v>
      </c>
      <c r="J901" s="3">
        <v>49321</v>
      </c>
      <c r="K901" s="3" t="str">
        <f t="shared" si="57"/>
        <v>Don't Watch</v>
      </c>
      <c r="L901" s="3" t="str">
        <f t="shared" si="58"/>
        <v>Don't Watch</v>
      </c>
      <c r="M901" s="3"/>
      <c r="N901" s="3" t="str">
        <f t="shared" si="59"/>
        <v>Maybe</v>
      </c>
      <c r="P901" t="b">
        <f t="shared" si="60"/>
        <v>0</v>
      </c>
    </row>
    <row r="902" spans="1:16" x14ac:dyDescent="0.25">
      <c r="A902">
        <v>901</v>
      </c>
      <c r="B902" t="s">
        <v>2436</v>
      </c>
      <c r="C902">
        <v>-1954</v>
      </c>
      <c r="D902" t="s">
        <v>49</v>
      </c>
      <c r="E902" t="s">
        <v>99</v>
      </c>
      <c r="F902" t="s">
        <v>124</v>
      </c>
      <c r="G902">
        <v>7.7</v>
      </c>
      <c r="H902">
        <v>63</v>
      </c>
      <c r="I902" t="s">
        <v>2437</v>
      </c>
      <c r="J902" s="3">
        <v>27500</v>
      </c>
      <c r="K902" s="3" t="str">
        <f t="shared" si="57"/>
        <v>Don't Watch</v>
      </c>
      <c r="L902" s="3" t="str">
        <f t="shared" si="58"/>
        <v>Don't Watch</v>
      </c>
      <c r="M902" s="3"/>
      <c r="N902" s="3" t="str">
        <f t="shared" si="59"/>
        <v>Maybe</v>
      </c>
      <c r="O902" t="s">
        <v>2438</v>
      </c>
      <c r="P902" t="b">
        <f t="shared" si="60"/>
        <v>0</v>
      </c>
    </row>
    <row r="903" spans="1:16" x14ac:dyDescent="0.25">
      <c r="A903">
        <v>902</v>
      </c>
      <c r="B903" t="s">
        <v>2439</v>
      </c>
      <c r="C903">
        <v>-1952</v>
      </c>
      <c r="D903" t="s">
        <v>49</v>
      </c>
      <c r="E903" t="s">
        <v>452</v>
      </c>
      <c r="F903" t="s">
        <v>132</v>
      </c>
      <c r="G903">
        <v>7.7</v>
      </c>
      <c r="H903">
        <v>85</v>
      </c>
      <c r="I903" t="s">
        <v>998</v>
      </c>
      <c r="J903" s="3">
        <v>38500</v>
      </c>
      <c r="K903" s="3" t="str">
        <f t="shared" ref="K903:K966" si="61">IF(G903&lt;7.9, "Don't Watch", IF(G903&gt;8, "Must Watch", "Maybe"))</f>
        <v>Don't Watch</v>
      </c>
      <c r="L903" s="3" t="str">
        <f t="shared" si="58"/>
        <v>Don't Watch</v>
      </c>
      <c r="M903" s="3"/>
      <c r="N903" s="3" t="str">
        <f t="shared" si="59"/>
        <v>Watch</v>
      </c>
      <c r="O903" t="s">
        <v>2440</v>
      </c>
      <c r="P903" t="b">
        <f t="shared" si="60"/>
        <v>0</v>
      </c>
    </row>
    <row r="904" spans="1:16" x14ac:dyDescent="0.25">
      <c r="A904">
        <v>903</v>
      </c>
      <c r="B904" t="s">
        <v>2441</v>
      </c>
      <c r="C904">
        <v>-1951</v>
      </c>
      <c r="D904" t="s">
        <v>49</v>
      </c>
      <c r="E904" t="s">
        <v>291</v>
      </c>
      <c r="F904" t="s">
        <v>1890</v>
      </c>
      <c r="G904">
        <v>7.7</v>
      </c>
      <c r="H904">
        <v>91</v>
      </c>
      <c r="I904" t="s">
        <v>698</v>
      </c>
      <c r="J904" s="3">
        <v>78163</v>
      </c>
      <c r="K904" s="3" t="str">
        <f t="shared" si="61"/>
        <v>Don't Watch</v>
      </c>
      <c r="L904" s="3" t="str">
        <f t="shared" si="58"/>
        <v>Don't Watch</v>
      </c>
      <c r="M904" s="3"/>
      <c r="N904" s="3" t="str">
        <f t="shared" si="59"/>
        <v>Maybe</v>
      </c>
      <c r="O904" t="s">
        <v>482</v>
      </c>
      <c r="P904" t="b">
        <f t="shared" si="60"/>
        <v>0</v>
      </c>
    </row>
    <row r="905" spans="1:16" x14ac:dyDescent="0.25">
      <c r="A905">
        <v>904</v>
      </c>
      <c r="B905" t="s">
        <v>2442</v>
      </c>
      <c r="C905">
        <v>-1948</v>
      </c>
      <c r="D905" t="s">
        <v>74</v>
      </c>
      <c r="E905" t="s">
        <v>613</v>
      </c>
      <c r="F905" t="s">
        <v>32</v>
      </c>
      <c r="G905">
        <v>7.7</v>
      </c>
      <c r="I905" t="s">
        <v>698</v>
      </c>
      <c r="J905" s="3">
        <v>40559</v>
      </c>
      <c r="K905" s="3" t="str">
        <f t="shared" si="61"/>
        <v>Don't Watch</v>
      </c>
      <c r="L905" s="3" t="str">
        <f t="shared" si="58"/>
        <v>Don't Watch</v>
      </c>
      <c r="M905" s="3"/>
      <c r="N905" s="3" t="str">
        <f t="shared" si="59"/>
        <v>Maybe</v>
      </c>
      <c r="P905" t="b">
        <f t="shared" si="60"/>
        <v>0</v>
      </c>
    </row>
    <row r="906" spans="1:16" x14ac:dyDescent="0.25">
      <c r="A906">
        <v>905</v>
      </c>
      <c r="B906" t="s">
        <v>2443</v>
      </c>
      <c r="C906">
        <v>-1940</v>
      </c>
      <c r="D906" t="s">
        <v>49</v>
      </c>
      <c r="E906" t="s">
        <v>119</v>
      </c>
      <c r="F906" t="s">
        <v>1252</v>
      </c>
      <c r="G906">
        <v>7.7</v>
      </c>
      <c r="H906">
        <v>96</v>
      </c>
      <c r="I906" t="s">
        <v>2444</v>
      </c>
      <c r="J906" s="3">
        <v>95266</v>
      </c>
      <c r="K906" s="3" t="str">
        <f t="shared" si="61"/>
        <v>Don't Watch</v>
      </c>
      <c r="L906" s="3" t="str">
        <f t="shared" si="58"/>
        <v>Don't Watch</v>
      </c>
      <c r="M906" s="3"/>
      <c r="N906" s="3" t="str">
        <f t="shared" si="59"/>
        <v>Maybe</v>
      </c>
      <c r="O906" t="s">
        <v>2445</v>
      </c>
      <c r="P906" t="b">
        <f t="shared" si="60"/>
        <v>0</v>
      </c>
    </row>
    <row r="907" spans="1:16" x14ac:dyDescent="0.25">
      <c r="A907">
        <v>906</v>
      </c>
      <c r="B907" t="s">
        <v>445</v>
      </c>
      <c r="C907">
        <v>-1932</v>
      </c>
      <c r="D907" t="s">
        <v>155</v>
      </c>
      <c r="E907" t="s">
        <v>823</v>
      </c>
      <c r="F907" t="s">
        <v>32</v>
      </c>
      <c r="G907">
        <v>7.7</v>
      </c>
      <c r="H907">
        <v>87</v>
      </c>
      <c r="I907" t="s">
        <v>1348</v>
      </c>
      <c r="J907" s="3">
        <v>27790</v>
      </c>
      <c r="K907" s="3" t="str">
        <f t="shared" si="61"/>
        <v>Don't Watch</v>
      </c>
      <c r="L907" s="3" t="str">
        <f t="shared" si="58"/>
        <v>Don't Watch</v>
      </c>
      <c r="M907" s="3"/>
      <c r="N907" s="3" t="str">
        <f t="shared" si="59"/>
        <v>Maybe</v>
      </c>
      <c r="P907" t="b">
        <f t="shared" si="60"/>
        <v>0</v>
      </c>
    </row>
    <row r="908" spans="1:16" x14ac:dyDescent="0.25">
      <c r="A908">
        <v>907</v>
      </c>
      <c r="B908" t="s">
        <v>2446</v>
      </c>
      <c r="C908">
        <v>-2019</v>
      </c>
      <c r="D908" t="s">
        <v>30</v>
      </c>
      <c r="E908" t="s">
        <v>263</v>
      </c>
      <c r="F908" t="s">
        <v>42</v>
      </c>
      <c r="G908">
        <v>7.6</v>
      </c>
      <c r="H908">
        <v>73</v>
      </c>
      <c r="I908" t="s">
        <v>2447</v>
      </c>
      <c r="J908" s="3">
        <v>85490</v>
      </c>
      <c r="K908" s="3" t="str">
        <f t="shared" si="61"/>
        <v>Don't Watch</v>
      </c>
      <c r="L908" s="3" t="str">
        <f t="shared" si="58"/>
        <v>Don't Watch</v>
      </c>
      <c r="M908" s="3"/>
      <c r="N908" s="3" t="str">
        <f t="shared" si="59"/>
        <v>Maybe</v>
      </c>
      <c r="P908" t="b">
        <f t="shared" si="60"/>
        <v>0</v>
      </c>
    </row>
    <row r="909" spans="1:16" x14ac:dyDescent="0.25">
      <c r="A909">
        <v>908</v>
      </c>
      <c r="B909" t="s">
        <v>2448</v>
      </c>
      <c r="C909">
        <v>-2021</v>
      </c>
      <c r="D909" t="s">
        <v>49</v>
      </c>
      <c r="E909" t="s">
        <v>655</v>
      </c>
      <c r="F909" t="s">
        <v>292</v>
      </c>
      <c r="G909">
        <v>7.6</v>
      </c>
      <c r="H909">
        <v>81</v>
      </c>
      <c r="I909" t="s">
        <v>2449</v>
      </c>
      <c r="J909" s="3">
        <v>103134</v>
      </c>
      <c r="K909" s="3" t="str">
        <f t="shared" si="61"/>
        <v>Don't Watch</v>
      </c>
      <c r="L909" s="3" t="str">
        <f t="shared" si="58"/>
        <v>Don't Watch</v>
      </c>
      <c r="M909" s="3"/>
      <c r="N909" s="3" t="str">
        <f t="shared" si="59"/>
        <v>Maybe</v>
      </c>
      <c r="P909" t="b">
        <f t="shared" si="60"/>
        <v>0</v>
      </c>
    </row>
    <row r="910" spans="1:16" x14ac:dyDescent="0.25">
      <c r="A910">
        <v>909</v>
      </c>
      <c r="B910" t="s">
        <v>2450</v>
      </c>
      <c r="C910" t="s">
        <v>2451</v>
      </c>
      <c r="D910" t="s">
        <v>30</v>
      </c>
      <c r="E910" t="s">
        <v>249</v>
      </c>
      <c r="F910" t="s">
        <v>317</v>
      </c>
      <c r="G910">
        <v>7.6</v>
      </c>
      <c r="H910">
        <v>71</v>
      </c>
      <c r="I910" t="s">
        <v>2452</v>
      </c>
      <c r="J910" s="3">
        <v>159908</v>
      </c>
      <c r="K910" s="3" t="str">
        <f t="shared" si="61"/>
        <v>Don't Watch</v>
      </c>
      <c r="L910" s="3" t="str">
        <f t="shared" si="58"/>
        <v>Don't Watch</v>
      </c>
      <c r="M910" s="3"/>
      <c r="N910" s="3" t="str">
        <f t="shared" si="59"/>
        <v>Maybe</v>
      </c>
      <c r="O910" t="s">
        <v>2453</v>
      </c>
      <c r="P910" t="b">
        <f t="shared" si="60"/>
        <v>0</v>
      </c>
    </row>
    <row r="911" spans="1:16" x14ac:dyDescent="0.25">
      <c r="A911">
        <v>910</v>
      </c>
      <c r="B911" t="s">
        <v>2454</v>
      </c>
      <c r="C911">
        <v>-2019</v>
      </c>
      <c r="D911">
        <v>18</v>
      </c>
      <c r="E911" t="s">
        <v>376</v>
      </c>
      <c r="F911" t="s">
        <v>304</v>
      </c>
      <c r="G911">
        <v>7.6</v>
      </c>
      <c r="H911">
        <v>83</v>
      </c>
      <c r="I911" t="s">
        <v>60</v>
      </c>
      <c r="J911" s="3">
        <v>696005</v>
      </c>
      <c r="K911" s="3" t="str">
        <f t="shared" si="61"/>
        <v>Don't Watch</v>
      </c>
      <c r="L911" s="3" t="str">
        <f t="shared" si="58"/>
        <v>Don't Watch</v>
      </c>
      <c r="M911" s="3"/>
      <c r="N911" s="3" t="str">
        <f t="shared" si="59"/>
        <v>Maybe</v>
      </c>
      <c r="O911" t="s">
        <v>2455</v>
      </c>
      <c r="P911" t="b">
        <f t="shared" si="60"/>
        <v>0</v>
      </c>
    </row>
    <row r="912" spans="1:16" x14ac:dyDescent="0.25">
      <c r="A912">
        <v>911</v>
      </c>
      <c r="B912" t="s">
        <v>2456</v>
      </c>
      <c r="C912">
        <v>-2017</v>
      </c>
      <c r="D912" t="s">
        <v>30</v>
      </c>
      <c r="E912" t="s">
        <v>89</v>
      </c>
      <c r="F912" t="s">
        <v>371</v>
      </c>
      <c r="G912">
        <v>7.6</v>
      </c>
      <c r="H912">
        <v>67</v>
      </c>
      <c r="I912" t="s">
        <v>1097</v>
      </c>
      <c r="J912" s="3">
        <v>657022</v>
      </c>
      <c r="K912" s="3" t="str">
        <f t="shared" si="61"/>
        <v>Don't Watch</v>
      </c>
      <c r="L912" s="3" t="str">
        <f t="shared" si="58"/>
        <v>Don't Watch</v>
      </c>
      <c r="M912" s="3"/>
      <c r="N912" s="3" t="str">
        <f t="shared" si="59"/>
        <v>Maybe</v>
      </c>
      <c r="O912" t="s">
        <v>2457</v>
      </c>
      <c r="P912" t="b">
        <f t="shared" si="60"/>
        <v>0</v>
      </c>
    </row>
    <row r="913" spans="1:16" x14ac:dyDescent="0.25">
      <c r="A913">
        <v>912</v>
      </c>
      <c r="B913" t="s">
        <v>2458</v>
      </c>
      <c r="C913">
        <v>-2015</v>
      </c>
      <c r="D913" t="s">
        <v>30</v>
      </c>
      <c r="E913" t="s">
        <v>19</v>
      </c>
      <c r="F913" t="s">
        <v>1248</v>
      </c>
      <c r="G913">
        <v>7.6</v>
      </c>
      <c r="H913">
        <v>81</v>
      </c>
      <c r="I913" t="s">
        <v>43</v>
      </c>
      <c r="J913" s="3">
        <v>307545</v>
      </c>
      <c r="K913" s="3" t="str">
        <f t="shared" si="61"/>
        <v>Don't Watch</v>
      </c>
      <c r="L913" s="3" t="str">
        <f t="shared" si="58"/>
        <v>Don't Watch</v>
      </c>
      <c r="M913" s="3"/>
      <c r="N913" s="3" t="str">
        <f t="shared" si="59"/>
        <v>Maybe</v>
      </c>
      <c r="O913" t="s">
        <v>2459</v>
      </c>
      <c r="P913" t="b">
        <f t="shared" si="60"/>
        <v>0</v>
      </c>
    </row>
    <row r="914" spans="1:16" x14ac:dyDescent="0.25">
      <c r="A914">
        <v>913</v>
      </c>
      <c r="B914" t="s">
        <v>2460</v>
      </c>
      <c r="C914">
        <v>-2018</v>
      </c>
      <c r="D914" t="s">
        <v>74</v>
      </c>
      <c r="E914" t="s">
        <v>143</v>
      </c>
      <c r="F914" t="s">
        <v>279</v>
      </c>
      <c r="G914">
        <v>7.6</v>
      </c>
      <c r="H914">
        <v>80</v>
      </c>
      <c r="I914" t="s">
        <v>848</v>
      </c>
      <c r="J914" s="3">
        <v>288184</v>
      </c>
      <c r="K914" s="3" t="str">
        <f t="shared" si="61"/>
        <v>Don't Watch</v>
      </c>
      <c r="L914" s="3" t="str">
        <f t="shared" si="58"/>
        <v>Don't Watch</v>
      </c>
      <c r="M914" s="3"/>
      <c r="N914" s="3" t="str">
        <f t="shared" si="59"/>
        <v>Maybe</v>
      </c>
      <c r="O914" t="s">
        <v>2461</v>
      </c>
      <c r="P914" t="b">
        <f t="shared" si="60"/>
        <v>0</v>
      </c>
    </row>
    <row r="915" spans="1:16" x14ac:dyDescent="0.25">
      <c r="A915">
        <v>914</v>
      </c>
      <c r="B915" t="s">
        <v>2462</v>
      </c>
      <c r="C915" t="s">
        <v>2463</v>
      </c>
      <c r="D915" t="s">
        <v>74</v>
      </c>
      <c r="E915" t="s">
        <v>493</v>
      </c>
      <c r="F915" t="s">
        <v>292</v>
      </c>
      <c r="G915">
        <v>7.6</v>
      </c>
      <c r="H915">
        <v>81</v>
      </c>
      <c r="I915" t="s">
        <v>1245</v>
      </c>
      <c r="J915" s="3">
        <v>324190</v>
      </c>
      <c r="K915" s="3" t="str">
        <f t="shared" si="61"/>
        <v>Don't Watch</v>
      </c>
      <c r="L915" s="3" t="str">
        <f t="shared" si="58"/>
        <v>Don't Watch</v>
      </c>
      <c r="M915" s="3"/>
      <c r="N915" s="3" t="str">
        <f t="shared" si="59"/>
        <v>Maybe</v>
      </c>
      <c r="O915" t="s">
        <v>2464</v>
      </c>
      <c r="P915" t="b">
        <f t="shared" si="60"/>
        <v>0</v>
      </c>
    </row>
    <row r="916" spans="1:16" x14ac:dyDescent="0.25">
      <c r="A916">
        <v>915</v>
      </c>
      <c r="B916" t="s">
        <v>2465</v>
      </c>
      <c r="C916">
        <v>-2014</v>
      </c>
      <c r="D916">
        <v>15</v>
      </c>
      <c r="E916" t="s">
        <v>890</v>
      </c>
      <c r="F916" t="s">
        <v>1500</v>
      </c>
      <c r="G916">
        <v>7.6</v>
      </c>
      <c r="H916">
        <v>76</v>
      </c>
      <c r="I916" t="s">
        <v>2466</v>
      </c>
      <c r="J916" s="3">
        <v>179651</v>
      </c>
      <c r="K916" s="3" t="str">
        <f t="shared" si="61"/>
        <v>Don't Watch</v>
      </c>
      <c r="L916" s="3" t="str">
        <f t="shared" si="58"/>
        <v>Don't Watch</v>
      </c>
      <c r="M916" s="3"/>
      <c r="N916" s="3" t="str">
        <f t="shared" si="59"/>
        <v>Maybe</v>
      </c>
      <c r="O916" t="s">
        <v>1269</v>
      </c>
      <c r="P916" t="b">
        <f t="shared" si="60"/>
        <v>0</v>
      </c>
    </row>
    <row r="917" spans="1:16" x14ac:dyDescent="0.25">
      <c r="A917">
        <v>916</v>
      </c>
      <c r="B917" t="s">
        <v>2467</v>
      </c>
      <c r="C917">
        <v>-2015</v>
      </c>
      <c r="D917">
        <v>15</v>
      </c>
      <c r="E917" t="s">
        <v>148</v>
      </c>
      <c r="F917" t="s">
        <v>32</v>
      </c>
      <c r="G917">
        <v>7.6</v>
      </c>
      <c r="H917">
        <v>82</v>
      </c>
      <c r="I917" t="s">
        <v>390</v>
      </c>
      <c r="J917" s="3">
        <v>419783</v>
      </c>
      <c r="K917" s="3" t="str">
        <f t="shared" si="61"/>
        <v>Don't Watch</v>
      </c>
      <c r="L917" s="3" t="str">
        <f t="shared" si="58"/>
        <v>Don't Watch</v>
      </c>
      <c r="M917" s="3"/>
      <c r="N917" s="3" t="str">
        <f t="shared" si="59"/>
        <v>Maybe</v>
      </c>
      <c r="O917" t="s">
        <v>2468</v>
      </c>
      <c r="P917" t="b">
        <f t="shared" si="60"/>
        <v>0</v>
      </c>
    </row>
    <row r="918" spans="1:16" x14ac:dyDescent="0.25">
      <c r="A918">
        <v>917</v>
      </c>
      <c r="B918" t="s">
        <v>2469</v>
      </c>
      <c r="C918" t="s">
        <v>2470</v>
      </c>
      <c r="D918" t="s">
        <v>30</v>
      </c>
      <c r="E918" t="s">
        <v>104</v>
      </c>
      <c r="F918" t="s">
        <v>562</v>
      </c>
      <c r="G918">
        <v>7.6</v>
      </c>
      <c r="H918">
        <v>82</v>
      </c>
      <c r="I918" t="s">
        <v>2471</v>
      </c>
      <c r="J918" s="3">
        <v>268802</v>
      </c>
      <c r="K918" s="3" t="str">
        <f t="shared" si="61"/>
        <v>Don't Watch</v>
      </c>
      <c r="L918" s="3" t="str">
        <f t="shared" si="58"/>
        <v>Don't Watch</v>
      </c>
      <c r="M918" s="3"/>
      <c r="N918" s="3" t="str">
        <f t="shared" si="59"/>
        <v>Maybe</v>
      </c>
      <c r="O918" t="s">
        <v>2472</v>
      </c>
      <c r="P918" t="b">
        <f t="shared" si="60"/>
        <v>0</v>
      </c>
    </row>
    <row r="919" spans="1:16" x14ac:dyDescent="0.25">
      <c r="A919">
        <v>918</v>
      </c>
      <c r="B919" t="s">
        <v>2473</v>
      </c>
      <c r="C919">
        <v>-2014</v>
      </c>
      <c r="D919">
        <v>15</v>
      </c>
      <c r="E919" t="s">
        <v>561</v>
      </c>
      <c r="F919" t="s">
        <v>26</v>
      </c>
      <c r="G919">
        <v>7.6</v>
      </c>
      <c r="H919">
        <v>92</v>
      </c>
      <c r="I919" t="s">
        <v>1495</v>
      </c>
      <c r="J919" s="3">
        <v>53213</v>
      </c>
      <c r="K919" s="3" t="str">
        <f t="shared" si="61"/>
        <v>Don't Watch</v>
      </c>
      <c r="L919" s="3" t="str">
        <f t="shared" si="58"/>
        <v>Don't Watch</v>
      </c>
      <c r="M919" s="3"/>
      <c r="N919" s="3" t="str">
        <f t="shared" si="59"/>
        <v>Maybe</v>
      </c>
      <c r="O919" t="s">
        <v>1024</v>
      </c>
      <c r="P919" t="b">
        <f t="shared" si="60"/>
        <v>0</v>
      </c>
    </row>
    <row r="920" spans="1:16" x14ac:dyDescent="0.25">
      <c r="A920">
        <v>919</v>
      </c>
      <c r="B920" t="s">
        <v>2474</v>
      </c>
      <c r="C920" t="s">
        <v>1416</v>
      </c>
      <c r="D920">
        <v>15</v>
      </c>
      <c r="E920" t="s">
        <v>249</v>
      </c>
      <c r="F920" t="s">
        <v>144</v>
      </c>
      <c r="G920">
        <v>7.6</v>
      </c>
      <c r="H920">
        <v>88</v>
      </c>
      <c r="I920" t="s">
        <v>2475</v>
      </c>
      <c r="J920" s="3">
        <v>226869</v>
      </c>
      <c r="K920" s="3" t="str">
        <f t="shared" si="61"/>
        <v>Don't Watch</v>
      </c>
      <c r="L920" s="3" t="str">
        <f t="shared" si="58"/>
        <v>Don't Watch</v>
      </c>
      <c r="M920" s="3"/>
      <c r="N920" s="3" t="str">
        <f t="shared" si="59"/>
        <v>Maybe</v>
      </c>
      <c r="O920" t="s">
        <v>2476</v>
      </c>
      <c r="P920" t="b">
        <f t="shared" si="60"/>
        <v>0</v>
      </c>
    </row>
    <row r="921" spans="1:16" x14ac:dyDescent="0.25">
      <c r="A921">
        <v>920</v>
      </c>
      <c r="B921" t="s">
        <v>2477</v>
      </c>
      <c r="C921">
        <v>-2013</v>
      </c>
      <c r="D921" t="s">
        <v>30</v>
      </c>
      <c r="E921" t="s">
        <v>313</v>
      </c>
      <c r="F921" t="s">
        <v>177</v>
      </c>
      <c r="G921">
        <v>7.6</v>
      </c>
      <c r="H921">
        <v>77</v>
      </c>
      <c r="I921" t="s">
        <v>2478</v>
      </c>
      <c r="J921" s="3">
        <v>99614</v>
      </c>
      <c r="K921" s="3" t="str">
        <f t="shared" si="61"/>
        <v>Don't Watch</v>
      </c>
      <c r="L921" s="3" t="str">
        <f t="shared" si="58"/>
        <v>Don't Watch</v>
      </c>
      <c r="M921" s="3"/>
      <c r="N921" s="3" t="str">
        <f t="shared" si="59"/>
        <v>Maybe</v>
      </c>
      <c r="O921" t="s">
        <v>2479</v>
      </c>
      <c r="P921" t="b">
        <f t="shared" si="60"/>
        <v>0</v>
      </c>
    </row>
    <row r="922" spans="1:16" x14ac:dyDescent="0.25">
      <c r="A922">
        <v>921</v>
      </c>
      <c r="B922" t="s">
        <v>2480</v>
      </c>
      <c r="C922">
        <v>-2014</v>
      </c>
      <c r="D922" t="s">
        <v>30</v>
      </c>
      <c r="E922" t="s">
        <v>108</v>
      </c>
      <c r="F922" t="s">
        <v>37</v>
      </c>
      <c r="G922">
        <v>7.6</v>
      </c>
      <c r="H922">
        <v>79</v>
      </c>
      <c r="I922" t="s">
        <v>1432</v>
      </c>
      <c r="J922" s="3">
        <v>435946</v>
      </c>
      <c r="K922" s="3" t="str">
        <f t="shared" si="61"/>
        <v>Don't Watch</v>
      </c>
      <c r="L922" s="3" t="str">
        <f t="shared" si="58"/>
        <v>Don't Watch</v>
      </c>
      <c r="M922" s="3"/>
      <c r="N922" s="3" t="str">
        <f t="shared" si="59"/>
        <v>Maybe</v>
      </c>
      <c r="O922" t="s">
        <v>2481</v>
      </c>
      <c r="P922" t="b">
        <f t="shared" si="60"/>
        <v>0</v>
      </c>
    </row>
    <row r="923" spans="1:16" x14ac:dyDescent="0.25">
      <c r="A923">
        <v>922</v>
      </c>
      <c r="B923" t="s">
        <v>2482</v>
      </c>
      <c r="C923">
        <v>-2011</v>
      </c>
      <c r="D923">
        <v>18</v>
      </c>
      <c r="E923" t="s">
        <v>321</v>
      </c>
      <c r="F923" t="s">
        <v>1175</v>
      </c>
      <c r="G923">
        <v>7.6</v>
      </c>
      <c r="H923">
        <v>73</v>
      </c>
      <c r="I923" t="s">
        <v>1424</v>
      </c>
      <c r="J923" s="3">
        <v>202775</v>
      </c>
      <c r="K923" s="3" t="str">
        <f t="shared" si="61"/>
        <v>Don't Watch</v>
      </c>
      <c r="L923" s="3" t="str">
        <f t="shared" si="58"/>
        <v>Don't Watch</v>
      </c>
      <c r="M923" s="3"/>
      <c r="N923" s="3" t="str">
        <f t="shared" si="59"/>
        <v>Maybe</v>
      </c>
      <c r="O923" t="s">
        <v>2483</v>
      </c>
      <c r="P923" t="b">
        <f t="shared" si="60"/>
        <v>0</v>
      </c>
    </row>
    <row r="924" spans="1:16" x14ac:dyDescent="0.25">
      <c r="A924">
        <v>923</v>
      </c>
      <c r="B924" t="s">
        <v>2484</v>
      </c>
      <c r="C924">
        <v>-2012</v>
      </c>
      <c r="D924">
        <v>15</v>
      </c>
      <c r="E924" t="s">
        <v>241</v>
      </c>
      <c r="F924" t="s">
        <v>2485</v>
      </c>
      <c r="G924">
        <v>7.6</v>
      </c>
      <c r="H924">
        <v>68</v>
      </c>
      <c r="I924" t="s">
        <v>2486</v>
      </c>
      <c r="J924" s="3">
        <v>245142</v>
      </c>
      <c r="K924" s="3" t="str">
        <f t="shared" si="61"/>
        <v>Don't Watch</v>
      </c>
      <c r="L924" s="3" t="str">
        <f t="shared" si="58"/>
        <v>Don't Watch</v>
      </c>
      <c r="M924" s="3"/>
      <c r="N924" s="3" t="str">
        <f t="shared" si="59"/>
        <v>Maybe</v>
      </c>
      <c r="O924" t="s">
        <v>2487</v>
      </c>
      <c r="P924" t="b">
        <f t="shared" si="60"/>
        <v>0</v>
      </c>
    </row>
    <row r="925" spans="1:16" x14ac:dyDescent="0.25">
      <c r="A925">
        <v>924</v>
      </c>
      <c r="B925" t="s">
        <v>2488</v>
      </c>
      <c r="C925">
        <v>-2010</v>
      </c>
      <c r="D925">
        <v>15</v>
      </c>
      <c r="E925" t="s">
        <v>1057</v>
      </c>
      <c r="F925" t="s">
        <v>606</v>
      </c>
      <c r="G925">
        <v>7.6</v>
      </c>
      <c r="H925">
        <v>82</v>
      </c>
      <c r="I925" t="s">
        <v>896</v>
      </c>
      <c r="J925" s="3">
        <v>372752</v>
      </c>
      <c r="K925" s="3" t="str">
        <f t="shared" si="61"/>
        <v>Don't Watch</v>
      </c>
      <c r="L925" s="3" t="str">
        <f t="shared" si="58"/>
        <v>Don't Watch</v>
      </c>
      <c r="M925" s="3"/>
      <c r="N925" s="3" t="str">
        <f t="shared" si="59"/>
        <v>Maybe</v>
      </c>
      <c r="O925" t="s">
        <v>2489</v>
      </c>
      <c r="P925" t="b">
        <f t="shared" si="60"/>
        <v>0</v>
      </c>
    </row>
    <row r="926" spans="1:16" x14ac:dyDescent="0.25">
      <c r="A926">
        <v>925</v>
      </c>
      <c r="B926" t="s">
        <v>2490</v>
      </c>
      <c r="C926">
        <v>-2018</v>
      </c>
      <c r="D926">
        <v>15</v>
      </c>
      <c r="E926" t="s">
        <v>89</v>
      </c>
      <c r="F926" t="s">
        <v>921</v>
      </c>
      <c r="G926">
        <v>7.6</v>
      </c>
      <c r="H926">
        <v>88</v>
      </c>
      <c r="I926" t="s">
        <v>2491</v>
      </c>
      <c r="J926" s="3">
        <v>375246</v>
      </c>
      <c r="K926" s="3" t="str">
        <f t="shared" si="61"/>
        <v>Don't Watch</v>
      </c>
      <c r="L926" s="3" t="str">
        <f t="shared" si="58"/>
        <v>Don't Watch</v>
      </c>
      <c r="M926" s="3"/>
      <c r="N926" s="3" t="str">
        <f t="shared" si="59"/>
        <v>Maybe</v>
      </c>
      <c r="O926" t="s">
        <v>2492</v>
      </c>
      <c r="P926" t="b">
        <f t="shared" si="60"/>
        <v>0</v>
      </c>
    </row>
    <row r="927" spans="1:16" x14ac:dyDescent="0.25">
      <c r="A927">
        <v>926</v>
      </c>
      <c r="B927" t="s">
        <v>2493</v>
      </c>
      <c r="C927">
        <v>-2010</v>
      </c>
      <c r="D927">
        <v>15</v>
      </c>
      <c r="E927" t="s">
        <v>209</v>
      </c>
      <c r="F927" t="s">
        <v>296</v>
      </c>
      <c r="G927">
        <v>7.6</v>
      </c>
      <c r="H927">
        <v>80</v>
      </c>
      <c r="I927" t="s">
        <v>583</v>
      </c>
      <c r="J927" s="3">
        <v>335095</v>
      </c>
      <c r="K927" s="3" t="str">
        <f t="shared" si="61"/>
        <v>Don't Watch</v>
      </c>
      <c r="L927" s="3" t="str">
        <f t="shared" si="58"/>
        <v>Don't Watch</v>
      </c>
      <c r="M927" s="3"/>
      <c r="N927" s="3" t="str">
        <f t="shared" si="59"/>
        <v>Maybe</v>
      </c>
      <c r="O927" t="s">
        <v>2494</v>
      </c>
      <c r="P927" t="b">
        <f t="shared" si="60"/>
        <v>0</v>
      </c>
    </row>
    <row r="928" spans="1:16" x14ac:dyDescent="0.25">
      <c r="A928">
        <v>927</v>
      </c>
      <c r="B928" t="s">
        <v>2495</v>
      </c>
      <c r="C928">
        <v>-2010</v>
      </c>
      <c r="D928" t="s">
        <v>49</v>
      </c>
      <c r="E928" t="s">
        <v>356</v>
      </c>
      <c r="F928" t="s">
        <v>292</v>
      </c>
      <c r="G928">
        <v>7.6</v>
      </c>
      <c r="H928">
        <v>72</v>
      </c>
      <c r="I928" t="s">
        <v>2496</v>
      </c>
      <c r="J928" s="3">
        <v>535729</v>
      </c>
      <c r="K928" s="3" t="str">
        <f t="shared" si="61"/>
        <v>Don't Watch</v>
      </c>
      <c r="L928" s="3" t="str">
        <f t="shared" si="58"/>
        <v>Don't Watch</v>
      </c>
      <c r="M928" s="3"/>
      <c r="N928" s="3" t="str">
        <f t="shared" si="59"/>
        <v>Maybe</v>
      </c>
      <c r="O928" t="s">
        <v>2497</v>
      </c>
      <c r="P928" t="b">
        <f t="shared" si="60"/>
        <v>0</v>
      </c>
    </row>
    <row r="929" spans="1:16" x14ac:dyDescent="0.25">
      <c r="A929">
        <v>928</v>
      </c>
      <c r="B929" t="s">
        <v>2498</v>
      </c>
      <c r="C929">
        <v>-2011</v>
      </c>
      <c r="D929" t="s">
        <v>30</v>
      </c>
      <c r="E929" t="s">
        <v>291</v>
      </c>
      <c r="F929" t="s">
        <v>595</v>
      </c>
      <c r="G929">
        <v>7.6</v>
      </c>
      <c r="H929">
        <v>68</v>
      </c>
      <c r="I929" t="s">
        <v>2499</v>
      </c>
      <c r="J929" s="3">
        <v>522184</v>
      </c>
      <c r="K929" s="3" t="str">
        <f t="shared" si="61"/>
        <v>Don't Watch</v>
      </c>
      <c r="L929" s="3" t="str">
        <f t="shared" si="58"/>
        <v>Don't Watch</v>
      </c>
      <c r="M929" s="3"/>
      <c r="N929" s="3" t="str">
        <f t="shared" si="59"/>
        <v>Maybe</v>
      </c>
      <c r="O929" t="s">
        <v>2500</v>
      </c>
      <c r="P929" t="b">
        <f t="shared" si="60"/>
        <v>0</v>
      </c>
    </row>
    <row r="930" spans="1:16" x14ac:dyDescent="0.25">
      <c r="A930">
        <v>929</v>
      </c>
      <c r="B930" t="s">
        <v>2501</v>
      </c>
      <c r="C930">
        <v>-2011</v>
      </c>
      <c r="D930">
        <v>15</v>
      </c>
      <c r="E930" t="s">
        <v>613</v>
      </c>
      <c r="F930" t="s">
        <v>132</v>
      </c>
      <c r="G930">
        <v>7.6</v>
      </c>
      <c r="H930">
        <v>72</v>
      </c>
      <c r="I930" t="s">
        <v>2502</v>
      </c>
      <c r="J930" s="3">
        <v>328197</v>
      </c>
      <c r="K930" s="3" t="str">
        <f t="shared" si="61"/>
        <v>Don't Watch</v>
      </c>
      <c r="L930" s="3" t="str">
        <f t="shared" si="58"/>
        <v>Don't Watch</v>
      </c>
      <c r="M930" s="3"/>
      <c r="N930" s="3" t="str">
        <f t="shared" si="59"/>
        <v>Maybe</v>
      </c>
      <c r="O930" t="s">
        <v>2503</v>
      </c>
      <c r="P930" t="b">
        <f t="shared" si="60"/>
        <v>0</v>
      </c>
    </row>
    <row r="931" spans="1:16" x14ac:dyDescent="0.25">
      <c r="A931">
        <v>930</v>
      </c>
      <c r="B931" t="s">
        <v>2504</v>
      </c>
      <c r="C931">
        <v>-2010</v>
      </c>
      <c r="D931">
        <v>15</v>
      </c>
      <c r="E931" t="s">
        <v>232</v>
      </c>
      <c r="F931" t="s">
        <v>550</v>
      </c>
      <c r="G931">
        <v>7.6</v>
      </c>
      <c r="H931">
        <v>66</v>
      </c>
      <c r="I931" t="s">
        <v>2081</v>
      </c>
      <c r="J931" s="3">
        <v>555404</v>
      </c>
      <c r="K931" s="3" t="str">
        <f t="shared" si="61"/>
        <v>Don't Watch</v>
      </c>
      <c r="L931" s="3" t="str">
        <f t="shared" si="58"/>
        <v>Don't Watch</v>
      </c>
      <c r="M931" s="3"/>
      <c r="N931" s="3" t="str">
        <f t="shared" si="59"/>
        <v>Maybe</v>
      </c>
      <c r="O931" t="s">
        <v>2505</v>
      </c>
      <c r="P931" t="b">
        <f t="shared" si="60"/>
        <v>0</v>
      </c>
    </row>
    <row r="932" spans="1:16" x14ac:dyDescent="0.25">
      <c r="A932">
        <v>931</v>
      </c>
      <c r="B932" t="s">
        <v>2506</v>
      </c>
      <c r="C932">
        <v>-2009</v>
      </c>
      <c r="D932">
        <v>18</v>
      </c>
      <c r="E932" t="s">
        <v>325</v>
      </c>
      <c r="F932" t="s">
        <v>32</v>
      </c>
      <c r="G932">
        <v>7.6</v>
      </c>
      <c r="I932" t="s">
        <v>2507</v>
      </c>
      <c r="J932" s="3">
        <v>67334</v>
      </c>
      <c r="K932" s="3" t="str">
        <f t="shared" si="61"/>
        <v>Don't Watch</v>
      </c>
      <c r="L932" s="3" t="str">
        <f t="shared" si="58"/>
        <v>Don't Watch</v>
      </c>
      <c r="M932" s="3"/>
      <c r="N932" s="3" t="str">
        <f t="shared" si="59"/>
        <v>Maybe</v>
      </c>
      <c r="P932" t="b">
        <f t="shared" si="60"/>
        <v>0</v>
      </c>
    </row>
    <row r="933" spans="1:16" x14ac:dyDescent="0.25">
      <c r="A933">
        <v>932</v>
      </c>
      <c r="B933" t="s">
        <v>2508</v>
      </c>
      <c r="C933">
        <v>-2011</v>
      </c>
      <c r="D933" t="s">
        <v>30</v>
      </c>
      <c r="E933" t="s">
        <v>104</v>
      </c>
      <c r="F933" t="s">
        <v>542</v>
      </c>
      <c r="G933">
        <v>7.6</v>
      </c>
      <c r="H933">
        <v>87</v>
      </c>
      <c r="I933" t="s">
        <v>2509</v>
      </c>
      <c r="J933" s="3">
        <v>414235</v>
      </c>
      <c r="K933" s="3" t="str">
        <f t="shared" si="61"/>
        <v>Don't Watch</v>
      </c>
      <c r="L933" s="3" t="str">
        <f t="shared" si="58"/>
        <v>Don't Watch</v>
      </c>
      <c r="M933" s="3"/>
      <c r="N933" s="3" t="str">
        <f t="shared" si="59"/>
        <v>Maybe</v>
      </c>
      <c r="O933" t="s">
        <v>2510</v>
      </c>
      <c r="P933" t="b">
        <f t="shared" si="60"/>
        <v>0</v>
      </c>
    </row>
    <row r="934" spans="1:16" x14ac:dyDescent="0.25">
      <c r="A934">
        <v>933</v>
      </c>
      <c r="B934" t="s">
        <v>2511</v>
      </c>
      <c r="C934">
        <v>-2011</v>
      </c>
      <c r="D934">
        <v>15</v>
      </c>
      <c r="E934" t="s">
        <v>811</v>
      </c>
      <c r="F934" t="s">
        <v>1337</v>
      </c>
      <c r="G934">
        <v>7.6</v>
      </c>
      <c r="H934">
        <v>70</v>
      </c>
      <c r="I934" t="s">
        <v>1516</v>
      </c>
      <c r="J934" s="3">
        <v>150850</v>
      </c>
      <c r="K934" s="3" t="str">
        <f t="shared" si="61"/>
        <v>Don't Watch</v>
      </c>
      <c r="L934" s="3" t="str">
        <f t="shared" si="58"/>
        <v>Don't Watch</v>
      </c>
      <c r="M934" s="3"/>
      <c r="N934" s="3" t="str">
        <f t="shared" si="59"/>
        <v>Maybe</v>
      </c>
      <c r="O934" t="s">
        <v>2512</v>
      </c>
      <c r="P934" t="b">
        <f t="shared" si="60"/>
        <v>0</v>
      </c>
    </row>
    <row r="935" spans="1:16" x14ac:dyDescent="0.25">
      <c r="A935">
        <v>934</v>
      </c>
      <c r="B935" t="s">
        <v>2513</v>
      </c>
      <c r="C935">
        <v>-2009</v>
      </c>
      <c r="D935">
        <v>15</v>
      </c>
      <c r="E935" t="s">
        <v>213</v>
      </c>
      <c r="F935" t="s">
        <v>2514</v>
      </c>
      <c r="G935">
        <v>7.6</v>
      </c>
      <c r="H935">
        <v>73</v>
      </c>
      <c r="I935" t="s">
        <v>2515</v>
      </c>
      <c r="J935" s="3">
        <v>565394</v>
      </c>
      <c r="K935" s="3" t="str">
        <f t="shared" si="61"/>
        <v>Don't Watch</v>
      </c>
      <c r="L935" s="3" t="str">
        <f t="shared" si="58"/>
        <v>Don't Watch</v>
      </c>
      <c r="M935" s="3"/>
      <c r="N935" s="3" t="str">
        <f t="shared" si="59"/>
        <v>Maybe</v>
      </c>
      <c r="O935" t="s">
        <v>2516</v>
      </c>
      <c r="P935" t="b">
        <f t="shared" si="60"/>
        <v>0</v>
      </c>
    </row>
    <row r="936" spans="1:16" x14ac:dyDescent="0.25">
      <c r="A936">
        <v>935</v>
      </c>
      <c r="B936" t="s">
        <v>2517</v>
      </c>
      <c r="C936">
        <v>-2009</v>
      </c>
      <c r="D936" t="s">
        <v>30</v>
      </c>
      <c r="E936" t="s">
        <v>452</v>
      </c>
      <c r="F936" t="s">
        <v>542</v>
      </c>
      <c r="G936">
        <v>7.6</v>
      </c>
      <c r="H936">
        <v>53</v>
      </c>
      <c r="I936" t="s">
        <v>2518</v>
      </c>
      <c r="J936" s="3">
        <v>326246</v>
      </c>
      <c r="K936" s="3" t="str">
        <f t="shared" si="61"/>
        <v>Don't Watch</v>
      </c>
      <c r="L936" s="3" t="str">
        <f t="shared" si="58"/>
        <v>Don't Watch</v>
      </c>
      <c r="M936" s="3"/>
      <c r="N936" s="3" t="str">
        <f t="shared" si="59"/>
        <v>Maybe</v>
      </c>
      <c r="O936" t="s">
        <v>2519</v>
      </c>
      <c r="P936" t="b">
        <f t="shared" si="60"/>
        <v>0</v>
      </c>
    </row>
    <row r="937" spans="1:16" x14ac:dyDescent="0.25">
      <c r="A937">
        <v>936</v>
      </c>
      <c r="B937" t="s">
        <v>2520</v>
      </c>
      <c r="C937">
        <v>-2008</v>
      </c>
      <c r="D937" t="s">
        <v>49</v>
      </c>
      <c r="E937" t="s">
        <v>321</v>
      </c>
      <c r="F937" t="s">
        <v>292</v>
      </c>
      <c r="G937">
        <v>7.6</v>
      </c>
      <c r="H937">
        <v>86</v>
      </c>
      <c r="I937" t="s">
        <v>121</v>
      </c>
      <c r="J937" s="3">
        <v>140922</v>
      </c>
      <c r="K937" s="3" t="str">
        <f t="shared" si="61"/>
        <v>Don't Watch</v>
      </c>
      <c r="L937" s="3" t="str">
        <f t="shared" si="58"/>
        <v>Don't Watch</v>
      </c>
      <c r="M937" s="3"/>
      <c r="N937" s="3" t="str">
        <f t="shared" si="59"/>
        <v>Maybe</v>
      </c>
      <c r="O937" t="s">
        <v>2521</v>
      </c>
      <c r="P937" t="b">
        <f t="shared" si="60"/>
        <v>0</v>
      </c>
    </row>
    <row r="938" spans="1:16" x14ac:dyDescent="0.25">
      <c r="A938">
        <v>937</v>
      </c>
      <c r="B938" t="s">
        <v>2522</v>
      </c>
      <c r="C938">
        <v>-2007</v>
      </c>
      <c r="D938">
        <v>15</v>
      </c>
      <c r="E938" t="s">
        <v>325</v>
      </c>
      <c r="F938" t="s">
        <v>1287</v>
      </c>
      <c r="G938">
        <v>7.6</v>
      </c>
      <c r="H938">
        <v>76</v>
      </c>
      <c r="I938" t="s">
        <v>2523</v>
      </c>
      <c r="J938" s="3">
        <v>566755</v>
      </c>
      <c r="K938" s="3" t="str">
        <f t="shared" si="61"/>
        <v>Don't Watch</v>
      </c>
      <c r="L938" s="3" t="str">
        <f t="shared" si="58"/>
        <v>Don't Watch</v>
      </c>
      <c r="M938" s="3"/>
      <c r="N938" s="3" t="str">
        <f t="shared" si="59"/>
        <v>Maybe</v>
      </c>
      <c r="O938" t="s">
        <v>2524</v>
      </c>
      <c r="P938" t="b">
        <f t="shared" si="60"/>
        <v>0</v>
      </c>
    </row>
    <row r="939" spans="1:16" x14ac:dyDescent="0.25">
      <c r="A939">
        <v>938</v>
      </c>
      <c r="B939" t="s">
        <v>2525</v>
      </c>
      <c r="C939">
        <v>-2008</v>
      </c>
      <c r="D939" t="s">
        <v>30</v>
      </c>
      <c r="E939" t="s">
        <v>384</v>
      </c>
      <c r="F939" t="s">
        <v>20</v>
      </c>
      <c r="G939">
        <v>7.6</v>
      </c>
      <c r="H939">
        <v>36</v>
      </c>
      <c r="I939" t="s">
        <v>1147</v>
      </c>
      <c r="J939" s="3">
        <v>300595</v>
      </c>
      <c r="K939" s="3" t="str">
        <f t="shared" si="61"/>
        <v>Don't Watch</v>
      </c>
      <c r="L939" s="3" t="str">
        <f t="shared" si="58"/>
        <v>Don't Watch</v>
      </c>
      <c r="M939" s="3"/>
      <c r="N939" s="3" t="str">
        <f t="shared" si="59"/>
        <v>Maybe</v>
      </c>
      <c r="O939" t="s">
        <v>2526</v>
      </c>
      <c r="P939" t="b">
        <f t="shared" si="60"/>
        <v>0</v>
      </c>
    </row>
    <row r="940" spans="1:16" x14ac:dyDescent="0.25">
      <c r="A940">
        <v>939</v>
      </c>
      <c r="B940" t="s">
        <v>2527</v>
      </c>
      <c r="C940">
        <v>-2007</v>
      </c>
      <c r="D940">
        <v>18</v>
      </c>
      <c r="E940" t="s">
        <v>613</v>
      </c>
      <c r="F940" t="s">
        <v>144</v>
      </c>
      <c r="G940">
        <v>7.6</v>
      </c>
      <c r="H940">
        <v>82</v>
      </c>
      <c r="I940" t="s">
        <v>2528</v>
      </c>
      <c r="J940" s="3">
        <v>240916</v>
      </c>
      <c r="K940" s="3" t="str">
        <f t="shared" si="61"/>
        <v>Don't Watch</v>
      </c>
      <c r="L940" s="3" t="str">
        <f t="shared" si="58"/>
        <v>Don't Watch</v>
      </c>
      <c r="M940" s="3"/>
      <c r="N940" s="3" t="str">
        <f t="shared" si="59"/>
        <v>Maybe</v>
      </c>
      <c r="O940" t="s">
        <v>2194</v>
      </c>
      <c r="P940" t="b">
        <f t="shared" si="60"/>
        <v>0</v>
      </c>
    </row>
    <row r="941" spans="1:16" x14ac:dyDescent="0.25">
      <c r="A941">
        <v>940</v>
      </c>
      <c r="B941" t="s">
        <v>2529</v>
      </c>
      <c r="C941">
        <v>-2007</v>
      </c>
      <c r="D941" t="s">
        <v>74</v>
      </c>
      <c r="E941" t="s">
        <v>136</v>
      </c>
      <c r="F941" t="s">
        <v>1044</v>
      </c>
      <c r="G941">
        <v>7.6</v>
      </c>
      <c r="H941">
        <v>66</v>
      </c>
      <c r="I941" t="s">
        <v>2081</v>
      </c>
      <c r="J941" s="3">
        <v>270223</v>
      </c>
      <c r="K941" s="3" t="str">
        <f t="shared" si="61"/>
        <v>Don't Watch</v>
      </c>
      <c r="L941" s="3" t="str">
        <f t="shared" si="58"/>
        <v>Don't Watch</v>
      </c>
      <c r="M941" s="3"/>
      <c r="N941" s="3" t="str">
        <f t="shared" si="59"/>
        <v>Maybe</v>
      </c>
      <c r="O941" t="s">
        <v>2530</v>
      </c>
      <c r="P941" t="b">
        <f t="shared" si="60"/>
        <v>0</v>
      </c>
    </row>
    <row r="942" spans="1:16" x14ac:dyDescent="0.25">
      <c r="A942">
        <v>941</v>
      </c>
      <c r="B942" t="s">
        <v>2531</v>
      </c>
      <c r="C942">
        <v>-2006</v>
      </c>
      <c r="D942">
        <v>15</v>
      </c>
      <c r="E942" t="s">
        <v>610</v>
      </c>
      <c r="F942" t="s">
        <v>516</v>
      </c>
      <c r="G942">
        <v>7.6</v>
      </c>
      <c r="H942">
        <v>90</v>
      </c>
      <c r="I942" t="s">
        <v>1154</v>
      </c>
      <c r="J942" s="3">
        <v>105942</v>
      </c>
      <c r="K942" s="3" t="str">
        <f t="shared" si="61"/>
        <v>Don't Watch</v>
      </c>
      <c r="L942" s="3" t="str">
        <f t="shared" si="58"/>
        <v>Don't Watch</v>
      </c>
      <c r="M942" s="3"/>
      <c r="N942" s="3" t="str">
        <f t="shared" si="59"/>
        <v>Maybe</v>
      </c>
      <c r="O942" t="s">
        <v>2532</v>
      </c>
      <c r="P942" t="b">
        <f t="shared" si="60"/>
        <v>0</v>
      </c>
    </row>
    <row r="943" spans="1:16" x14ac:dyDescent="0.25">
      <c r="A943">
        <v>942</v>
      </c>
      <c r="B943" t="s">
        <v>2533</v>
      </c>
      <c r="C943">
        <v>-2006</v>
      </c>
      <c r="D943">
        <v>15</v>
      </c>
      <c r="E943" t="s">
        <v>452</v>
      </c>
      <c r="F943" t="s">
        <v>56</v>
      </c>
      <c r="G943">
        <v>7.6</v>
      </c>
      <c r="H943">
        <v>76</v>
      </c>
      <c r="I943" t="s">
        <v>1581</v>
      </c>
      <c r="J943" s="3">
        <v>368098</v>
      </c>
      <c r="K943" s="3" t="str">
        <f t="shared" si="61"/>
        <v>Don't Watch</v>
      </c>
      <c r="L943" s="3" t="str">
        <f t="shared" si="58"/>
        <v>Don't Watch</v>
      </c>
      <c r="M943" s="3"/>
      <c r="N943" s="3" t="str">
        <f t="shared" si="59"/>
        <v>Maybe</v>
      </c>
      <c r="O943" t="s">
        <v>2534</v>
      </c>
      <c r="P943" t="b">
        <f t="shared" si="60"/>
        <v>0</v>
      </c>
    </row>
    <row r="944" spans="1:16" x14ac:dyDescent="0.25">
      <c r="A944">
        <v>943</v>
      </c>
      <c r="B944" t="s">
        <v>2535</v>
      </c>
      <c r="C944">
        <v>-2007</v>
      </c>
      <c r="D944">
        <v>15</v>
      </c>
      <c r="E944" t="s">
        <v>655</v>
      </c>
      <c r="F944" t="s">
        <v>56</v>
      </c>
      <c r="G944">
        <v>7.6</v>
      </c>
      <c r="H944">
        <v>72</v>
      </c>
      <c r="I944" t="s">
        <v>2140</v>
      </c>
      <c r="J944" s="3">
        <v>270039</v>
      </c>
      <c r="K944" s="3" t="str">
        <f t="shared" si="61"/>
        <v>Don't Watch</v>
      </c>
      <c r="L944" s="3" t="str">
        <f t="shared" si="58"/>
        <v>Don't Watch</v>
      </c>
      <c r="M944" s="3"/>
      <c r="N944" s="3" t="str">
        <f t="shared" si="59"/>
        <v>Maybe</v>
      </c>
      <c r="O944" t="s">
        <v>2536</v>
      </c>
      <c r="P944" t="b">
        <f t="shared" si="60"/>
        <v>0</v>
      </c>
    </row>
    <row r="945" spans="1:16" x14ac:dyDescent="0.25">
      <c r="A945">
        <v>944</v>
      </c>
      <c r="B945" t="s">
        <v>2537</v>
      </c>
      <c r="C945">
        <v>-2008</v>
      </c>
      <c r="D945" t="s">
        <v>49</v>
      </c>
      <c r="E945" t="s">
        <v>827</v>
      </c>
      <c r="F945" t="s">
        <v>279</v>
      </c>
      <c r="G945">
        <v>7.6</v>
      </c>
      <c r="H945">
        <v>74</v>
      </c>
      <c r="I945" t="s">
        <v>2111</v>
      </c>
      <c r="J945" s="3">
        <v>459167</v>
      </c>
      <c r="K945" s="3" t="str">
        <f t="shared" si="61"/>
        <v>Don't Watch</v>
      </c>
      <c r="L945" s="3" t="str">
        <f t="shared" si="58"/>
        <v>Don't Watch</v>
      </c>
      <c r="M945" s="3"/>
      <c r="N945" s="3" t="str">
        <f t="shared" si="59"/>
        <v>Maybe</v>
      </c>
      <c r="O945" t="s">
        <v>2538</v>
      </c>
      <c r="P945" t="b">
        <f t="shared" si="60"/>
        <v>0</v>
      </c>
    </row>
    <row r="946" spans="1:16" x14ac:dyDescent="0.25">
      <c r="A946">
        <v>945</v>
      </c>
      <c r="B946">
        <v>300</v>
      </c>
      <c r="C946">
        <v>-2006</v>
      </c>
      <c r="D946">
        <v>15</v>
      </c>
      <c r="E946" t="s">
        <v>232</v>
      </c>
      <c r="F946" t="s">
        <v>109</v>
      </c>
      <c r="G946">
        <v>7.6</v>
      </c>
      <c r="H946">
        <v>52</v>
      </c>
      <c r="I946" t="s">
        <v>1121</v>
      </c>
      <c r="J946" s="3">
        <v>806765</v>
      </c>
      <c r="K946" s="3" t="str">
        <f t="shared" si="61"/>
        <v>Don't Watch</v>
      </c>
      <c r="L946" s="3" t="str">
        <f t="shared" si="58"/>
        <v>Don't Watch</v>
      </c>
      <c r="M946" s="3"/>
      <c r="N946" s="3" t="str">
        <f t="shared" si="59"/>
        <v>Maybe</v>
      </c>
      <c r="O946" t="s">
        <v>226</v>
      </c>
      <c r="P946" t="b">
        <f t="shared" si="60"/>
        <v>1</v>
      </c>
    </row>
    <row r="947" spans="1:16" x14ac:dyDescent="0.25">
      <c r="A947">
        <v>946</v>
      </c>
      <c r="B947" t="s">
        <v>2539</v>
      </c>
      <c r="C947">
        <v>-2005</v>
      </c>
      <c r="D947" t="s">
        <v>30</v>
      </c>
      <c r="E947" t="s">
        <v>99</v>
      </c>
      <c r="F947" t="s">
        <v>743</v>
      </c>
      <c r="G947">
        <v>7.6</v>
      </c>
      <c r="H947">
        <v>72</v>
      </c>
      <c r="I947" t="s">
        <v>1294</v>
      </c>
      <c r="J947" s="3">
        <v>216623</v>
      </c>
      <c r="K947" s="3" t="str">
        <f t="shared" si="61"/>
        <v>Don't Watch</v>
      </c>
      <c r="L947" s="3" t="str">
        <f t="shared" si="58"/>
        <v>Don't Watch</v>
      </c>
      <c r="M947" s="3"/>
      <c r="N947" s="3" t="str">
        <f t="shared" si="59"/>
        <v>Maybe</v>
      </c>
      <c r="O947" t="s">
        <v>2540</v>
      </c>
      <c r="P947" t="b">
        <f t="shared" si="60"/>
        <v>0</v>
      </c>
    </row>
    <row r="948" spans="1:16" x14ac:dyDescent="0.25">
      <c r="A948">
        <v>947</v>
      </c>
      <c r="B948" t="s">
        <v>2541</v>
      </c>
      <c r="C948">
        <v>-2009</v>
      </c>
      <c r="D948">
        <v>18</v>
      </c>
      <c r="E948" t="s">
        <v>644</v>
      </c>
      <c r="F948" t="s">
        <v>152</v>
      </c>
      <c r="G948">
        <v>7.6</v>
      </c>
      <c r="H948">
        <v>56</v>
      </c>
      <c r="I948" t="s">
        <v>1121</v>
      </c>
      <c r="J948" s="3">
        <v>543887</v>
      </c>
      <c r="K948" s="3" t="str">
        <f t="shared" si="61"/>
        <v>Don't Watch</v>
      </c>
      <c r="L948" s="3" t="str">
        <f t="shared" si="58"/>
        <v>Don't Watch</v>
      </c>
      <c r="M948" s="3"/>
      <c r="N948" s="3" t="str">
        <f t="shared" si="59"/>
        <v>Maybe</v>
      </c>
      <c r="O948" t="s">
        <v>2542</v>
      </c>
      <c r="P948" t="b">
        <f t="shared" si="60"/>
        <v>0</v>
      </c>
    </row>
    <row r="949" spans="1:16" x14ac:dyDescent="0.25">
      <c r="A949">
        <v>948</v>
      </c>
      <c r="B949" t="s">
        <v>2543</v>
      </c>
      <c r="C949">
        <v>-2005</v>
      </c>
      <c r="D949">
        <v>15</v>
      </c>
      <c r="E949" t="s">
        <v>268</v>
      </c>
      <c r="F949" t="s">
        <v>26</v>
      </c>
      <c r="G949">
        <v>7.6</v>
      </c>
      <c r="H949">
        <v>62</v>
      </c>
      <c r="I949" t="s">
        <v>1901</v>
      </c>
      <c r="J949" s="3">
        <v>313532</v>
      </c>
      <c r="K949" s="3" t="str">
        <f t="shared" si="61"/>
        <v>Don't Watch</v>
      </c>
      <c r="L949" s="3" t="str">
        <f t="shared" si="58"/>
        <v>Don't Watch</v>
      </c>
      <c r="M949" s="3"/>
      <c r="N949" s="3" t="str">
        <f t="shared" si="59"/>
        <v>Maybe</v>
      </c>
      <c r="O949" t="s">
        <v>2544</v>
      </c>
      <c r="P949" t="b">
        <f t="shared" si="60"/>
        <v>0</v>
      </c>
    </row>
    <row r="950" spans="1:16" x14ac:dyDescent="0.25">
      <c r="A950">
        <v>949</v>
      </c>
      <c r="B950" t="s">
        <v>2545</v>
      </c>
      <c r="C950">
        <v>-2004</v>
      </c>
      <c r="D950">
        <v>18</v>
      </c>
      <c r="E950" t="s">
        <v>403</v>
      </c>
      <c r="F950" t="s">
        <v>242</v>
      </c>
      <c r="G950">
        <v>7.6</v>
      </c>
      <c r="H950">
        <v>46</v>
      </c>
      <c r="I950" t="s">
        <v>2546</v>
      </c>
      <c r="J950" s="3">
        <v>412720</v>
      </c>
      <c r="K950" s="3" t="str">
        <f t="shared" si="61"/>
        <v>Don't Watch</v>
      </c>
      <c r="L950" s="3" t="str">
        <f t="shared" si="58"/>
        <v>Don't Watch</v>
      </c>
      <c r="M950" s="3"/>
      <c r="N950" s="3" t="str">
        <f t="shared" si="59"/>
        <v>Maybe</v>
      </c>
      <c r="O950" t="s">
        <v>2547</v>
      </c>
      <c r="P950" t="b">
        <f t="shared" si="60"/>
        <v>0</v>
      </c>
    </row>
    <row r="951" spans="1:16" x14ac:dyDescent="0.25">
      <c r="A951">
        <v>950</v>
      </c>
      <c r="B951" t="s">
        <v>2548</v>
      </c>
      <c r="C951">
        <v>-2004</v>
      </c>
      <c r="D951" t="s">
        <v>30</v>
      </c>
      <c r="E951" t="s">
        <v>119</v>
      </c>
      <c r="F951" t="s">
        <v>26</v>
      </c>
      <c r="G951">
        <v>7.6</v>
      </c>
      <c r="H951">
        <v>83</v>
      </c>
      <c r="I951" t="s">
        <v>1229</v>
      </c>
      <c r="J951" s="3">
        <v>25466</v>
      </c>
      <c r="K951" s="3" t="str">
        <f t="shared" si="61"/>
        <v>Don't Watch</v>
      </c>
      <c r="L951" s="3" t="str">
        <f t="shared" si="58"/>
        <v>Don't Watch</v>
      </c>
      <c r="M951" s="3"/>
      <c r="N951" s="3" t="str">
        <f t="shared" si="59"/>
        <v>Maybe</v>
      </c>
      <c r="O951" t="s">
        <v>2549</v>
      </c>
      <c r="P951" t="b">
        <f t="shared" si="60"/>
        <v>0</v>
      </c>
    </row>
    <row r="952" spans="1:16" x14ac:dyDescent="0.25">
      <c r="A952">
        <v>951</v>
      </c>
      <c r="B952" t="s">
        <v>2550</v>
      </c>
      <c r="C952">
        <v>-2004</v>
      </c>
      <c r="D952">
        <v>18</v>
      </c>
      <c r="E952" t="s">
        <v>291</v>
      </c>
      <c r="F952" t="s">
        <v>20</v>
      </c>
      <c r="G952">
        <v>7.6</v>
      </c>
      <c r="H952">
        <v>73</v>
      </c>
      <c r="I952" t="s">
        <v>2551</v>
      </c>
      <c r="J952" s="3">
        <v>69509</v>
      </c>
      <c r="K952" s="3" t="str">
        <f t="shared" si="61"/>
        <v>Don't Watch</v>
      </c>
      <c r="L952" s="3" t="str">
        <f t="shared" si="58"/>
        <v>Don't Watch</v>
      </c>
      <c r="M952" s="3"/>
      <c r="N952" s="3" t="str">
        <f t="shared" si="59"/>
        <v>Maybe</v>
      </c>
      <c r="O952" t="s">
        <v>2552</v>
      </c>
      <c r="P952" t="b">
        <f t="shared" si="60"/>
        <v>0</v>
      </c>
    </row>
    <row r="953" spans="1:16" x14ac:dyDescent="0.25">
      <c r="A953">
        <v>952</v>
      </c>
      <c r="B953" t="s">
        <v>2553</v>
      </c>
      <c r="C953">
        <v>-2004</v>
      </c>
      <c r="D953">
        <v>15</v>
      </c>
      <c r="E953" t="s">
        <v>104</v>
      </c>
      <c r="F953" t="s">
        <v>557</v>
      </c>
      <c r="G953">
        <v>7.6</v>
      </c>
      <c r="H953">
        <v>76</v>
      </c>
      <c r="I953" t="s">
        <v>415</v>
      </c>
      <c r="J953" s="3">
        <v>73693</v>
      </c>
      <c r="K953" s="3" t="str">
        <f t="shared" si="61"/>
        <v>Don't Watch</v>
      </c>
      <c r="L953" s="3" t="str">
        <f t="shared" si="58"/>
        <v>Don't Watch</v>
      </c>
      <c r="M953" s="3"/>
      <c r="N953" s="3" t="str">
        <f t="shared" si="59"/>
        <v>Maybe</v>
      </c>
      <c r="O953" t="s">
        <v>2554</v>
      </c>
      <c r="P953" t="b">
        <f t="shared" si="60"/>
        <v>0</v>
      </c>
    </row>
    <row r="954" spans="1:16" x14ac:dyDescent="0.25">
      <c r="A954">
        <v>953</v>
      </c>
      <c r="B954" t="s">
        <v>2555</v>
      </c>
      <c r="C954">
        <v>-2003</v>
      </c>
      <c r="D954">
        <v>15</v>
      </c>
      <c r="E954" t="s">
        <v>221</v>
      </c>
      <c r="F954" t="s">
        <v>304</v>
      </c>
      <c r="G954">
        <v>7.6</v>
      </c>
      <c r="H954">
        <v>81</v>
      </c>
      <c r="I954" t="s">
        <v>795</v>
      </c>
      <c r="J954" s="3">
        <v>70305</v>
      </c>
      <c r="K954" s="3" t="str">
        <f t="shared" si="61"/>
        <v>Don't Watch</v>
      </c>
      <c r="L954" s="3" t="str">
        <f t="shared" si="58"/>
        <v>Don't Watch</v>
      </c>
      <c r="M954" s="3"/>
      <c r="N954" s="3" t="str">
        <f t="shared" si="59"/>
        <v>Maybe</v>
      </c>
      <c r="O954" t="s">
        <v>2556</v>
      </c>
      <c r="P954" t="b">
        <f t="shared" si="60"/>
        <v>0</v>
      </c>
    </row>
    <row r="955" spans="1:16" x14ac:dyDescent="0.25">
      <c r="A955">
        <v>954</v>
      </c>
      <c r="B955" t="s">
        <v>2557</v>
      </c>
      <c r="C955">
        <v>-2003</v>
      </c>
      <c r="D955">
        <v>15</v>
      </c>
      <c r="E955" t="s">
        <v>309</v>
      </c>
      <c r="F955" t="s">
        <v>132</v>
      </c>
      <c r="G955">
        <v>7.6</v>
      </c>
      <c r="H955">
        <v>55</v>
      </c>
      <c r="I955" t="s">
        <v>1763</v>
      </c>
      <c r="J955" s="3">
        <v>475740</v>
      </c>
      <c r="K955" s="3" t="str">
        <f t="shared" si="61"/>
        <v>Don't Watch</v>
      </c>
      <c r="L955" s="3" t="str">
        <f t="shared" si="58"/>
        <v>Don't Watch</v>
      </c>
      <c r="M955" s="3"/>
      <c r="N955" s="3" t="str">
        <f t="shared" si="59"/>
        <v>Maybe</v>
      </c>
      <c r="O955" t="s">
        <v>2558</v>
      </c>
      <c r="P955" t="b">
        <f t="shared" si="60"/>
        <v>0</v>
      </c>
    </row>
    <row r="956" spans="1:16" x14ac:dyDescent="0.25">
      <c r="A956">
        <v>955</v>
      </c>
      <c r="B956" t="s">
        <v>2559</v>
      </c>
      <c r="C956">
        <v>-2002</v>
      </c>
      <c r="D956">
        <v>15</v>
      </c>
      <c r="E956" t="s">
        <v>309</v>
      </c>
      <c r="F956" t="s">
        <v>20</v>
      </c>
      <c r="G956">
        <v>7.6</v>
      </c>
      <c r="H956">
        <v>68</v>
      </c>
      <c r="I956" t="s">
        <v>1581</v>
      </c>
      <c r="J956" s="3">
        <v>177788</v>
      </c>
      <c r="K956" s="3" t="str">
        <f t="shared" si="61"/>
        <v>Don't Watch</v>
      </c>
      <c r="L956" s="3" t="str">
        <f t="shared" si="58"/>
        <v>Don't Watch</v>
      </c>
      <c r="M956" s="3"/>
      <c r="N956" s="3" t="str">
        <f t="shared" si="59"/>
        <v>Maybe</v>
      </c>
      <c r="O956" t="s">
        <v>2560</v>
      </c>
      <c r="P956" t="b">
        <f t="shared" si="60"/>
        <v>0</v>
      </c>
    </row>
    <row r="957" spans="1:16" x14ac:dyDescent="0.25">
      <c r="A957">
        <v>956</v>
      </c>
      <c r="B957" t="s">
        <v>2561</v>
      </c>
      <c r="C957">
        <v>-2004</v>
      </c>
      <c r="D957">
        <v>15</v>
      </c>
      <c r="E957" t="s">
        <v>325</v>
      </c>
      <c r="F957" t="s">
        <v>1900</v>
      </c>
      <c r="G957">
        <v>7.6</v>
      </c>
      <c r="H957">
        <v>30</v>
      </c>
      <c r="I957" t="s">
        <v>2562</v>
      </c>
      <c r="J957" s="3">
        <v>482705</v>
      </c>
      <c r="K957" s="3" t="str">
        <f t="shared" si="61"/>
        <v>Don't Watch</v>
      </c>
      <c r="L957" s="3" t="str">
        <f t="shared" si="58"/>
        <v>Don't Watch</v>
      </c>
      <c r="M957" s="3"/>
      <c r="N957" s="3" t="str">
        <f t="shared" si="59"/>
        <v>Maybe</v>
      </c>
      <c r="O957" t="s">
        <v>2563</v>
      </c>
      <c r="P957" t="b">
        <f t="shared" si="60"/>
        <v>0</v>
      </c>
    </row>
    <row r="958" spans="1:16" x14ac:dyDescent="0.25">
      <c r="A958">
        <v>957</v>
      </c>
      <c r="B958" t="s">
        <v>2564</v>
      </c>
      <c r="C958">
        <v>-2001</v>
      </c>
      <c r="D958">
        <v>12</v>
      </c>
      <c r="E958" t="s">
        <v>166</v>
      </c>
      <c r="F958" t="s">
        <v>20</v>
      </c>
      <c r="G958">
        <v>7.6</v>
      </c>
      <c r="H958">
        <v>28</v>
      </c>
      <c r="I958" t="s">
        <v>2565</v>
      </c>
      <c r="J958" s="3">
        <v>149535</v>
      </c>
      <c r="K958" s="3" t="str">
        <f t="shared" si="61"/>
        <v>Don't Watch</v>
      </c>
      <c r="L958" s="3" t="str">
        <f t="shared" si="58"/>
        <v>Don't Watch</v>
      </c>
      <c r="M958" s="3"/>
      <c r="N958" s="3" t="str">
        <f t="shared" si="59"/>
        <v>Maybe</v>
      </c>
      <c r="O958" t="s">
        <v>2566</v>
      </c>
      <c r="P958" t="b">
        <f t="shared" si="60"/>
        <v>0</v>
      </c>
    </row>
    <row r="959" spans="1:16" x14ac:dyDescent="0.25">
      <c r="A959">
        <v>958</v>
      </c>
      <c r="B959" t="s">
        <v>2567</v>
      </c>
      <c r="C959">
        <v>-2001</v>
      </c>
      <c r="D959">
        <v>15</v>
      </c>
      <c r="E959" t="s">
        <v>209</v>
      </c>
      <c r="F959" t="s">
        <v>304</v>
      </c>
      <c r="G959">
        <v>7.6</v>
      </c>
      <c r="H959">
        <v>76</v>
      </c>
      <c r="I959" t="s">
        <v>774</v>
      </c>
      <c r="J959" s="3">
        <v>288813</v>
      </c>
      <c r="K959" s="3" t="str">
        <f t="shared" si="61"/>
        <v>Don't Watch</v>
      </c>
      <c r="L959" s="3" t="str">
        <f t="shared" si="58"/>
        <v>Don't Watch</v>
      </c>
      <c r="M959" s="3"/>
      <c r="N959" s="3" t="str">
        <f t="shared" si="59"/>
        <v>Maybe</v>
      </c>
      <c r="O959" t="s">
        <v>2568</v>
      </c>
      <c r="P959" t="b">
        <f t="shared" si="60"/>
        <v>0</v>
      </c>
    </row>
    <row r="960" spans="1:16" x14ac:dyDescent="0.25">
      <c r="A960">
        <v>959</v>
      </c>
      <c r="B960" t="s">
        <v>2569</v>
      </c>
      <c r="C960">
        <v>-2001</v>
      </c>
      <c r="D960" t="s">
        <v>74</v>
      </c>
      <c r="E960" t="s">
        <v>31</v>
      </c>
      <c r="F960" t="s">
        <v>1044</v>
      </c>
      <c r="G960">
        <v>7.6</v>
      </c>
      <c r="H960">
        <v>65</v>
      </c>
      <c r="I960" t="s">
        <v>2339</v>
      </c>
      <c r="J960" s="3">
        <v>757390</v>
      </c>
      <c r="K960" s="3" t="str">
        <f t="shared" si="61"/>
        <v>Don't Watch</v>
      </c>
      <c r="L960" s="3" t="str">
        <f t="shared" si="58"/>
        <v>Don't Watch</v>
      </c>
      <c r="M960" s="3"/>
      <c r="N960" s="3" t="str">
        <f t="shared" si="59"/>
        <v>Maybe</v>
      </c>
      <c r="O960" t="s">
        <v>2570</v>
      </c>
      <c r="P960" t="b">
        <f t="shared" si="60"/>
        <v>0</v>
      </c>
    </row>
    <row r="961" spans="1:16" x14ac:dyDescent="0.25">
      <c r="A961">
        <v>960</v>
      </c>
      <c r="B961" t="s">
        <v>2571</v>
      </c>
      <c r="C961">
        <v>-2001</v>
      </c>
      <c r="D961">
        <v>12</v>
      </c>
      <c r="E961" t="s">
        <v>321</v>
      </c>
      <c r="F961" t="s">
        <v>242</v>
      </c>
      <c r="G961">
        <v>7.6</v>
      </c>
      <c r="H961">
        <v>74</v>
      </c>
      <c r="I961" t="s">
        <v>1181</v>
      </c>
      <c r="J961" s="3">
        <v>360863</v>
      </c>
      <c r="K961" s="3" t="str">
        <f t="shared" si="61"/>
        <v>Don't Watch</v>
      </c>
      <c r="L961" s="3" t="str">
        <f t="shared" si="58"/>
        <v>Don't Watch</v>
      </c>
      <c r="M961" s="3"/>
      <c r="N961" s="3" t="str">
        <f t="shared" si="59"/>
        <v>Maybe</v>
      </c>
      <c r="O961" t="s">
        <v>2572</v>
      </c>
      <c r="P961" t="b">
        <f t="shared" si="60"/>
        <v>0</v>
      </c>
    </row>
    <row r="962" spans="1:16" x14ac:dyDescent="0.25">
      <c r="A962">
        <v>961</v>
      </c>
      <c r="B962" t="s">
        <v>2573</v>
      </c>
      <c r="C962">
        <v>-2000</v>
      </c>
      <c r="D962">
        <v>18</v>
      </c>
      <c r="E962" t="s">
        <v>228</v>
      </c>
      <c r="F962" t="s">
        <v>144</v>
      </c>
      <c r="G962">
        <v>7.6</v>
      </c>
      <c r="H962">
        <v>86</v>
      </c>
      <c r="I962" t="s">
        <v>2249</v>
      </c>
      <c r="J962" s="3">
        <v>206281</v>
      </c>
      <c r="K962" s="3" t="str">
        <f t="shared" si="61"/>
        <v>Don't Watch</v>
      </c>
      <c r="L962" s="3" t="str">
        <f t="shared" si="58"/>
        <v>Don't Watch</v>
      </c>
      <c r="M962" s="3"/>
      <c r="N962" s="3" t="str">
        <f t="shared" si="59"/>
        <v>Maybe</v>
      </c>
      <c r="O962" t="s">
        <v>2574</v>
      </c>
      <c r="P962" t="b">
        <f t="shared" si="60"/>
        <v>0</v>
      </c>
    </row>
    <row r="963" spans="1:16" x14ac:dyDescent="0.25">
      <c r="A963">
        <v>962</v>
      </c>
      <c r="B963" t="s">
        <v>2575</v>
      </c>
      <c r="C963">
        <v>-2000</v>
      </c>
      <c r="D963">
        <v>18</v>
      </c>
      <c r="E963" t="s">
        <v>249</v>
      </c>
      <c r="F963" t="s">
        <v>1023</v>
      </c>
      <c r="G963">
        <v>7.6</v>
      </c>
      <c r="H963">
        <v>64</v>
      </c>
      <c r="I963" t="s">
        <v>2576</v>
      </c>
      <c r="J963" s="3">
        <v>578633</v>
      </c>
      <c r="K963" s="3" t="str">
        <f t="shared" si="61"/>
        <v>Don't Watch</v>
      </c>
      <c r="L963" s="3" t="str">
        <f t="shared" ref="L963:L1001" si="62">IF(G963=9,"Must Watch",IF(G963=8,"Maybe","Don't Watch"))</f>
        <v>Don't Watch</v>
      </c>
      <c r="M963" s="3"/>
      <c r="N963" s="3" t="str">
        <f t="shared" ref="N963:N1001" si="63">IF(I963="Billy Wilder", "Must Watch", IF(I963="John Ford", "Watch", "Maybe"))</f>
        <v>Maybe</v>
      </c>
      <c r="O963" t="s">
        <v>2577</v>
      </c>
      <c r="P963" t="b">
        <f t="shared" ref="P963:P1001" si="64">ISNUMBER(B:B)</f>
        <v>0</v>
      </c>
    </row>
    <row r="964" spans="1:16" x14ac:dyDescent="0.25">
      <c r="A964">
        <v>963</v>
      </c>
      <c r="B964" t="s">
        <v>2578</v>
      </c>
      <c r="C964">
        <v>-1998</v>
      </c>
      <c r="D964">
        <v>15</v>
      </c>
      <c r="E964" t="s">
        <v>823</v>
      </c>
      <c r="F964" t="s">
        <v>132</v>
      </c>
      <c r="G964">
        <v>7.6</v>
      </c>
      <c r="H964">
        <v>86</v>
      </c>
      <c r="I964" t="s">
        <v>774</v>
      </c>
      <c r="J964" s="3">
        <v>183903</v>
      </c>
      <c r="K964" s="3" t="str">
        <f t="shared" si="61"/>
        <v>Don't Watch</v>
      </c>
      <c r="L964" s="3" t="str">
        <f t="shared" si="62"/>
        <v>Don't Watch</v>
      </c>
      <c r="M964" s="3"/>
      <c r="N964" s="3" t="str">
        <f t="shared" si="63"/>
        <v>Maybe</v>
      </c>
      <c r="O964" t="s">
        <v>2194</v>
      </c>
      <c r="P964" t="b">
        <f t="shared" si="64"/>
        <v>0</v>
      </c>
    </row>
    <row r="965" spans="1:16" x14ac:dyDescent="0.25">
      <c r="A965">
        <v>964</v>
      </c>
      <c r="B965" t="s">
        <v>2579</v>
      </c>
      <c r="C965">
        <v>-2005</v>
      </c>
      <c r="D965" t="s">
        <v>30</v>
      </c>
      <c r="E965" t="s">
        <v>561</v>
      </c>
      <c r="F965" t="s">
        <v>100</v>
      </c>
      <c r="G965">
        <v>7.6</v>
      </c>
      <c r="H965">
        <v>68</v>
      </c>
      <c r="I965" t="s">
        <v>149</v>
      </c>
      <c r="J965" s="3">
        <v>772879</v>
      </c>
      <c r="K965" s="3" t="str">
        <f t="shared" si="61"/>
        <v>Don't Watch</v>
      </c>
      <c r="L965" s="3" t="str">
        <f t="shared" si="62"/>
        <v>Don't Watch</v>
      </c>
      <c r="M965" s="3"/>
      <c r="N965" s="3" t="str">
        <f t="shared" si="63"/>
        <v>Maybe</v>
      </c>
      <c r="O965" t="s">
        <v>2580</v>
      </c>
      <c r="P965" t="b">
        <f t="shared" si="64"/>
        <v>0</v>
      </c>
    </row>
    <row r="966" spans="1:16" x14ac:dyDescent="0.25">
      <c r="A966">
        <v>965</v>
      </c>
      <c r="B966" t="s">
        <v>2581</v>
      </c>
      <c r="C966">
        <v>-1998</v>
      </c>
      <c r="D966">
        <v>15</v>
      </c>
      <c r="E966" t="s">
        <v>303</v>
      </c>
      <c r="F966" t="s">
        <v>1602</v>
      </c>
      <c r="G966">
        <v>7.6</v>
      </c>
      <c r="H966">
        <v>78</v>
      </c>
      <c r="I966" t="s">
        <v>1977</v>
      </c>
      <c r="J966" s="3">
        <v>186086</v>
      </c>
      <c r="K966" s="3" t="str">
        <f t="shared" si="61"/>
        <v>Don't Watch</v>
      </c>
      <c r="L966" s="3" t="str">
        <f t="shared" si="62"/>
        <v>Don't Watch</v>
      </c>
      <c r="M966" s="3"/>
      <c r="N966" s="3" t="str">
        <f t="shared" si="63"/>
        <v>Maybe</v>
      </c>
      <c r="O966" t="s">
        <v>2582</v>
      </c>
      <c r="P966" t="b">
        <f t="shared" si="64"/>
        <v>0</v>
      </c>
    </row>
    <row r="967" spans="1:16" x14ac:dyDescent="0.25">
      <c r="A967">
        <v>966</v>
      </c>
      <c r="B967" t="s">
        <v>2583</v>
      </c>
      <c r="C967">
        <v>-1998</v>
      </c>
      <c r="D967" t="s">
        <v>74</v>
      </c>
      <c r="E967" t="s">
        <v>213</v>
      </c>
      <c r="F967" t="s">
        <v>292</v>
      </c>
      <c r="G967">
        <v>7.6</v>
      </c>
      <c r="H967">
        <v>71</v>
      </c>
      <c r="I967" t="s">
        <v>2584</v>
      </c>
      <c r="J967" s="3">
        <v>281589</v>
      </c>
      <c r="K967" s="3" t="str">
        <f t="shared" ref="K967:K1001" si="65">IF(G967&lt;7.9, "Don't Watch", IF(G967&gt;8, "Must Watch", "Maybe"))</f>
        <v>Don't Watch</v>
      </c>
      <c r="L967" s="3" t="str">
        <f t="shared" si="62"/>
        <v>Don't Watch</v>
      </c>
      <c r="M967" s="3"/>
      <c r="N967" s="3" t="str">
        <f t="shared" si="63"/>
        <v>Maybe</v>
      </c>
      <c r="O967" t="s">
        <v>2585</v>
      </c>
      <c r="P967" t="b">
        <f t="shared" si="64"/>
        <v>0</v>
      </c>
    </row>
    <row r="968" spans="1:16" x14ac:dyDescent="0.25">
      <c r="A968">
        <v>967</v>
      </c>
      <c r="B968" t="s">
        <v>2586</v>
      </c>
      <c r="C968">
        <v>-1997</v>
      </c>
      <c r="D968" t="s">
        <v>74</v>
      </c>
      <c r="E968" t="s">
        <v>263</v>
      </c>
      <c r="F968" t="s">
        <v>64</v>
      </c>
      <c r="G968">
        <v>7.6</v>
      </c>
      <c r="H968">
        <v>52</v>
      </c>
      <c r="I968" t="s">
        <v>210</v>
      </c>
      <c r="J968" s="3">
        <v>466847</v>
      </c>
      <c r="K968" s="3" t="str">
        <f t="shared" si="65"/>
        <v>Don't Watch</v>
      </c>
      <c r="L968" s="3" t="str">
        <f t="shared" si="62"/>
        <v>Don't Watch</v>
      </c>
      <c r="M968" s="3"/>
      <c r="N968" s="3" t="str">
        <f t="shared" si="63"/>
        <v>Maybe</v>
      </c>
      <c r="O968" t="s">
        <v>2587</v>
      </c>
      <c r="P968" t="b">
        <f t="shared" si="64"/>
        <v>0</v>
      </c>
    </row>
    <row r="969" spans="1:16" x14ac:dyDescent="0.25">
      <c r="A969">
        <v>968</v>
      </c>
      <c r="B969" t="s">
        <v>2588</v>
      </c>
      <c r="C969">
        <v>-1998</v>
      </c>
      <c r="D969">
        <v>15</v>
      </c>
      <c r="E969" t="s">
        <v>851</v>
      </c>
      <c r="F969" t="s">
        <v>1287</v>
      </c>
      <c r="G969">
        <v>7.6</v>
      </c>
      <c r="H969">
        <v>73</v>
      </c>
      <c r="I969" t="s">
        <v>2589</v>
      </c>
      <c r="J969" s="3">
        <v>41335</v>
      </c>
      <c r="K969" s="3" t="str">
        <f t="shared" si="65"/>
        <v>Don't Watch</v>
      </c>
      <c r="L969" s="3" t="str">
        <f t="shared" si="62"/>
        <v>Don't Watch</v>
      </c>
      <c r="M969" s="3"/>
      <c r="N969" s="3" t="str">
        <f t="shared" si="63"/>
        <v>Maybe</v>
      </c>
      <c r="O969" t="s">
        <v>2590</v>
      </c>
      <c r="P969" t="b">
        <f t="shared" si="64"/>
        <v>0</v>
      </c>
    </row>
    <row r="970" spans="1:16" x14ac:dyDescent="0.25">
      <c r="A970">
        <v>969</v>
      </c>
      <c r="B970" t="s">
        <v>2591</v>
      </c>
      <c r="C970">
        <v>-1998</v>
      </c>
      <c r="D970">
        <v>15</v>
      </c>
      <c r="E970" t="s">
        <v>613</v>
      </c>
      <c r="F970" t="s">
        <v>2592</v>
      </c>
      <c r="G970">
        <v>7.6</v>
      </c>
      <c r="H970">
        <v>66</v>
      </c>
      <c r="I970" t="s">
        <v>2593</v>
      </c>
      <c r="J970" s="3">
        <v>198706</v>
      </c>
      <c r="K970" s="3" t="str">
        <f t="shared" si="65"/>
        <v>Don't Watch</v>
      </c>
      <c r="L970" s="3" t="str">
        <f t="shared" si="62"/>
        <v>Don't Watch</v>
      </c>
      <c r="M970" s="3"/>
      <c r="N970" s="3" t="str">
        <f t="shared" si="63"/>
        <v>Maybe</v>
      </c>
      <c r="O970" t="s">
        <v>2594</v>
      </c>
      <c r="P970" t="b">
        <f t="shared" si="64"/>
        <v>0</v>
      </c>
    </row>
    <row r="971" spans="1:16" x14ac:dyDescent="0.25">
      <c r="A971">
        <v>970</v>
      </c>
      <c r="B971" t="s">
        <v>2595</v>
      </c>
      <c r="C971">
        <v>-1995</v>
      </c>
      <c r="D971">
        <v>15</v>
      </c>
      <c r="E971" t="s">
        <v>477</v>
      </c>
      <c r="F971" t="s">
        <v>1171</v>
      </c>
      <c r="G971">
        <v>7.6</v>
      </c>
      <c r="H971">
        <v>58</v>
      </c>
      <c r="I971" t="s">
        <v>641</v>
      </c>
      <c r="J971" s="3">
        <v>383647</v>
      </c>
      <c r="K971" s="3" t="str">
        <f t="shared" si="65"/>
        <v>Don't Watch</v>
      </c>
      <c r="L971" s="3" t="str">
        <f t="shared" si="62"/>
        <v>Don't Watch</v>
      </c>
      <c r="M971" s="3"/>
      <c r="N971" s="3" t="str">
        <f t="shared" si="63"/>
        <v>Maybe</v>
      </c>
      <c r="O971" t="s">
        <v>2596</v>
      </c>
      <c r="P971" t="b">
        <f t="shared" si="64"/>
        <v>0</v>
      </c>
    </row>
    <row r="972" spans="1:16" x14ac:dyDescent="0.25">
      <c r="A972">
        <v>971</v>
      </c>
      <c r="B972" t="s">
        <v>2597</v>
      </c>
      <c r="C972">
        <v>-1995</v>
      </c>
      <c r="D972">
        <v>12</v>
      </c>
      <c r="E972" t="s">
        <v>309</v>
      </c>
      <c r="F972" t="s">
        <v>78</v>
      </c>
      <c r="G972">
        <v>7.6</v>
      </c>
      <c r="H972">
        <v>69</v>
      </c>
      <c r="I972" t="s">
        <v>635</v>
      </c>
      <c r="J972" s="3">
        <v>80487</v>
      </c>
      <c r="K972" s="3" t="str">
        <f t="shared" si="65"/>
        <v>Don't Watch</v>
      </c>
      <c r="L972" s="3" t="str">
        <f t="shared" si="62"/>
        <v>Don't Watch</v>
      </c>
      <c r="M972" s="3"/>
      <c r="N972" s="3" t="str">
        <f t="shared" si="63"/>
        <v>Maybe</v>
      </c>
      <c r="O972" t="s">
        <v>2598</v>
      </c>
      <c r="P972" t="b">
        <f t="shared" si="64"/>
        <v>0</v>
      </c>
    </row>
    <row r="973" spans="1:16" x14ac:dyDescent="0.25">
      <c r="A973">
        <v>972</v>
      </c>
      <c r="B973" t="s">
        <v>2599</v>
      </c>
      <c r="C973">
        <v>-1994</v>
      </c>
      <c r="D973">
        <v>15</v>
      </c>
      <c r="E973" t="s">
        <v>827</v>
      </c>
      <c r="F973" t="s">
        <v>132</v>
      </c>
      <c r="G973">
        <v>7.6</v>
      </c>
      <c r="H973">
        <v>88</v>
      </c>
      <c r="I973" t="s">
        <v>911</v>
      </c>
      <c r="J973" s="3">
        <v>72627</v>
      </c>
      <c r="K973" s="3" t="str">
        <f t="shared" si="65"/>
        <v>Don't Watch</v>
      </c>
      <c r="L973" s="3" t="str">
        <f t="shared" si="62"/>
        <v>Don't Watch</v>
      </c>
      <c r="M973" s="3"/>
      <c r="N973" s="3" t="str">
        <f t="shared" si="63"/>
        <v>Maybe</v>
      </c>
      <c r="O973" t="s">
        <v>2600</v>
      </c>
      <c r="P973" t="b">
        <f t="shared" si="64"/>
        <v>0</v>
      </c>
    </row>
    <row r="974" spans="1:16" x14ac:dyDescent="0.25">
      <c r="A974">
        <v>973</v>
      </c>
      <c r="B974" t="s">
        <v>2601</v>
      </c>
      <c r="C974">
        <v>-1993</v>
      </c>
      <c r="D974">
        <v>18</v>
      </c>
      <c r="E974" t="s">
        <v>325</v>
      </c>
      <c r="F974" t="s">
        <v>32</v>
      </c>
      <c r="G974">
        <v>7.6</v>
      </c>
      <c r="H974">
        <v>56</v>
      </c>
      <c r="I974" t="s">
        <v>2602</v>
      </c>
      <c r="J974" s="3">
        <v>187498</v>
      </c>
      <c r="K974" s="3" t="str">
        <f t="shared" si="65"/>
        <v>Don't Watch</v>
      </c>
      <c r="L974" s="3" t="str">
        <f t="shared" si="62"/>
        <v>Don't Watch</v>
      </c>
      <c r="M974" s="3"/>
      <c r="N974" s="3" t="str">
        <f t="shared" si="63"/>
        <v>Maybe</v>
      </c>
      <c r="O974" t="s">
        <v>2603</v>
      </c>
      <c r="P974" t="b">
        <f t="shared" si="64"/>
        <v>0</v>
      </c>
    </row>
    <row r="975" spans="1:16" x14ac:dyDescent="0.25">
      <c r="A975">
        <v>974</v>
      </c>
      <c r="B975" t="s">
        <v>2604</v>
      </c>
      <c r="C975">
        <v>-1992</v>
      </c>
      <c r="D975">
        <v>15</v>
      </c>
      <c r="E975" t="s">
        <v>811</v>
      </c>
      <c r="F975" t="s">
        <v>419</v>
      </c>
      <c r="G975">
        <v>7.6</v>
      </c>
      <c r="H975">
        <v>68</v>
      </c>
      <c r="I975" t="s">
        <v>2605</v>
      </c>
      <c r="J975" s="3">
        <v>122538</v>
      </c>
      <c r="K975" s="3" t="str">
        <f t="shared" si="65"/>
        <v>Don't Watch</v>
      </c>
      <c r="L975" s="3" t="str">
        <f t="shared" si="62"/>
        <v>Don't Watch</v>
      </c>
      <c r="M975" s="3"/>
      <c r="N975" s="3" t="str">
        <f t="shared" si="63"/>
        <v>Maybe</v>
      </c>
      <c r="O975" t="s">
        <v>2606</v>
      </c>
      <c r="P975" t="b">
        <f t="shared" si="64"/>
        <v>0</v>
      </c>
    </row>
    <row r="976" spans="1:16" x14ac:dyDescent="0.25">
      <c r="A976">
        <v>975</v>
      </c>
      <c r="B976" t="s">
        <v>2607</v>
      </c>
      <c r="C976">
        <v>-1991</v>
      </c>
      <c r="D976">
        <v>15</v>
      </c>
      <c r="E976" t="s">
        <v>131</v>
      </c>
      <c r="F976" t="s">
        <v>167</v>
      </c>
      <c r="G976">
        <v>7.6</v>
      </c>
      <c r="H976">
        <v>69</v>
      </c>
      <c r="I976" t="s">
        <v>893</v>
      </c>
      <c r="J976" s="3">
        <v>120493</v>
      </c>
      <c r="K976" s="3" t="str">
        <f t="shared" si="65"/>
        <v>Don't Watch</v>
      </c>
      <c r="L976" s="3" t="str">
        <f t="shared" si="62"/>
        <v>Don't Watch</v>
      </c>
      <c r="M976" s="3"/>
      <c r="N976" s="3" t="str">
        <f t="shared" si="63"/>
        <v>Maybe</v>
      </c>
      <c r="O976" t="s">
        <v>2608</v>
      </c>
      <c r="P976" t="b">
        <f t="shared" si="64"/>
        <v>0</v>
      </c>
    </row>
    <row r="977" spans="1:16" x14ac:dyDescent="0.25">
      <c r="A977">
        <v>976</v>
      </c>
      <c r="B977" t="s">
        <v>2609</v>
      </c>
      <c r="C977">
        <v>-1990</v>
      </c>
      <c r="D977">
        <v>15</v>
      </c>
      <c r="E977" t="s">
        <v>644</v>
      </c>
      <c r="F977" t="s">
        <v>26</v>
      </c>
      <c r="G977">
        <v>7.6</v>
      </c>
      <c r="H977">
        <v>60</v>
      </c>
      <c r="I977" t="s">
        <v>27</v>
      </c>
      <c r="J977" s="3">
        <v>389790</v>
      </c>
      <c r="K977" s="3" t="str">
        <f t="shared" si="65"/>
        <v>Don't Watch</v>
      </c>
      <c r="L977" s="3" t="str">
        <f t="shared" si="62"/>
        <v>Don't Watch</v>
      </c>
      <c r="M977" s="3"/>
      <c r="N977" s="3" t="str">
        <f t="shared" si="63"/>
        <v>Maybe</v>
      </c>
      <c r="O977" t="s">
        <v>2610</v>
      </c>
      <c r="P977" t="b">
        <f t="shared" si="64"/>
        <v>0</v>
      </c>
    </row>
    <row r="978" spans="1:16" x14ac:dyDescent="0.25">
      <c r="A978">
        <v>977</v>
      </c>
      <c r="B978" t="s">
        <v>2611</v>
      </c>
      <c r="C978">
        <v>-1989</v>
      </c>
      <c r="D978" t="s">
        <v>49</v>
      </c>
      <c r="E978" t="s">
        <v>1555</v>
      </c>
      <c r="F978" t="s">
        <v>292</v>
      </c>
      <c r="G978">
        <v>7.6</v>
      </c>
      <c r="H978">
        <v>88</v>
      </c>
      <c r="I978" t="s">
        <v>1245</v>
      </c>
      <c r="J978" s="3">
        <v>257483</v>
      </c>
      <c r="K978" s="3" t="str">
        <f t="shared" si="65"/>
        <v>Don't Watch</v>
      </c>
      <c r="L978" s="3" t="str">
        <f t="shared" si="62"/>
        <v>Don't Watch</v>
      </c>
      <c r="M978" s="3"/>
      <c r="N978" s="3" t="str">
        <f t="shared" si="63"/>
        <v>Maybe</v>
      </c>
      <c r="O978" t="s">
        <v>2612</v>
      </c>
      <c r="P978" t="b">
        <f t="shared" si="64"/>
        <v>0</v>
      </c>
    </row>
    <row r="979" spans="1:16" x14ac:dyDescent="0.25">
      <c r="A979">
        <v>978</v>
      </c>
      <c r="B979" t="s">
        <v>2613</v>
      </c>
      <c r="C979">
        <v>-1988</v>
      </c>
      <c r="D979">
        <v>15</v>
      </c>
      <c r="E979" t="s">
        <v>991</v>
      </c>
      <c r="F979" t="s">
        <v>419</v>
      </c>
      <c r="G979">
        <v>7.6</v>
      </c>
      <c r="H979">
        <v>76</v>
      </c>
      <c r="I979" t="s">
        <v>2614</v>
      </c>
      <c r="J979" s="3">
        <v>166825</v>
      </c>
      <c r="K979" s="3" t="str">
        <f t="shared" si="65"/>
        <v>Don't Watch</v>
      </c>
      <c r="L979" s="3" t="str">
        <f t="shared" si="62"/>
        <v>Don't Watch</v>
      </c>
      <c r="M979" s="3"/>
      <c r="N979" s="3" t="str">
        <f t="shared" si="63"/>
        <v>Maybe</v>
      </c>
      <c r="O979" t="s">
        <v>2615</v>
      </c>
      <c r="P979" t="b">
        <f t="shared" si="64"/>
        <v>0</v>
      </c>
    </row>
    <row r="980" spans="1:16" x14ac:dyDescent="0.25">
      <c r="A980">
        <v>979</v>
      </c>
      <c r="B980" t="s">
        <v>2616</v>
      </c>
      <c r="C980">
        <v>-1987</v>
      </c>
      <c r="D980">
        <v>18</v>
      </c>
      <c r="E980" t="s">
        <v>249</v>
      </c>
      <c r="F980" t="s">
        <v>2617</v>
      </c>
      <c r="G980">
        <v>7.6</v>
      </c>
      <c r="H980">
        <v>70</v>
      </c>
      <c r="I980" t="s">
        <v>2186</v>
      </c>
      <c r="J980" s="3">
        <v>254126</v>
      </c>
      <c r="K980" s="3" t="str">
        <f t="shared" si="65"/>
        <v>Don't Watch</v>
      </c>
      <c r="L980" s="3" t="str">
        <f t="shared" si="62"/>
        <v>Don't Watch</v>
      </c>
      <c r="M980" s="3"/>
      <c r="N980" s="3" t="str">
        <f t="shared" si="63"/>
        <v>Maybe</v>
      </c>
      <c r="O980" t="s">
        <v>2618</v>
      </c>
      <c r="P980" t="b">
        <f t="shared" si="64"/>
        <v>0</v>
      </c>
    </row>
    <row r="981" spans="1:16" x14ac:dyDescent="0.25">
      <c r="A981">
        <v>980</v>
      </c>
      <c r="B981" t="s">
        <v>2619</v>
      </c>
      <c r="C981">
        <v>-1987</v>
      </c>
      <c r="D981">
        <v>18</v>
      </c>
      <c r="E981" t="s">
        <v>241</v>
      </c>
      <c r="F981" t="s">
        <v>1175</v>
      </c>
      <c r="G981">
        <v>7.6</v>
      </c>
      <c r="H981">
        <v>68</v>
      </c>
      <c r="I981" t="s">
        <v>2364</v>
      </c>
      <c r="J981" s="3">
        <v>255410</v>
      </c>
      <c r="K981" s="3" t="str">
        <f t="shared" si="65"/>
        <v>Don't Watch</v>
      </c>
      <c r="L981" s="3" t="str">
        <f t="shared" si="62"/>
        <v>Don't Watch</v>
      </c>
      <c r="M981" s="3"/>
      <c r="N981" s="3" t="str">
        <f t="shared" si="63"/>
        <v>Maybe</v>
      </c>
      <c r="O981" t="s">
        <v>2620</v>
      </c>
      <c r="P981" t="b">
        <f t="shared" si="64"/>
        <v>0</v>
      </c>
    </row>
    <row r="982" spans="1:16" x14ac:dyDescent="0.25">
      <c r="A982">
        <v>981</v>
      </c>
      <c r="B982" t="s">
        <v>2621</v>
      </c>
      <c r="C982">
        <v>-1986</v>
      </c>
      <c r="D982">
        <v>18</v>
      </c>
      <c r="E982" t="s">
        <v>50</v>
      </c>
      <c r="F982" t="s">
        <v>2039</v>
      </c>
      <c r="G982">
        <v>7.6</v>
      </c>
      <c r="H982">
        <v>79</v>
      </c>
      <c r="I982" t="s">
        <v>2528</v>
      </c>
      <c r="J982" s="3">
        <v>178058</v>
      </c>
      <c r="K982" s="3" t="str">
        <f t="shared" si="65"/>
        <v>Don't Watch</v>
      </c>
      <c r="L982" s="3" t="str">
        <f t="shared" si="62"/>
        <v>Don't Watch</v>
      </c>
      <c r="M982" s="3"/>
      <c r="N982" s="3" t="str">
        <f t="shared" si="63"/>
        <v>Maybe</v>
      </c>
      <c r="O982" t="s">
        <v>2622</v>
      </c>
      <c r="P982" t="b">
        <f t="shared" si="64"/>
        <v>0</v>
      </c>
    </row>
    <row r="983" spans="1:16" x14ac:dyDescent="0.25">
      <c r="A983">
        <v>982</v>
      </c>
      <c r="B983" t="s">
        <v>2623</v>
      </c>
      <c r="C983" t="s">
        <v>2624</v>
      </c>
      <c r="D983">
        <v>15</v>
      </c>
      <c r="E983" t="s">
        <v>576</v>
      </c>
      <c r="F983" t="s">
        <v>453</v>
      </c>
      <c r="G983">
        <v>7.6</v>
      </c>
      <c r="H983">
        <v>90</v>
      </c>
      <c r="I983" t="s">
        <v>96</v>
      </c>
      <c r="J983" s="3">
        <v>68381</v>
      </c>
      <c r="K983" s="3" t="str">
        <f t="shared" si="65"/>
        <v>Don't Watch</v>
      </c>
      <c r="L983" s="3" t="str">
        <f t="shared" si="62"/>
        <v>Don't Watch</v>
      </c>
      <c r="M983" s="3"/>
      <c r="N983" s="3" t="str">
        <f t="shared" si="63"/>
        <v>Maybe</v>
      </c>
      <c r="O983" t="s">
        <v>2625</v>
      </c>
      <c r="P983" t="b">
        <f t="shared" si="64"/>
        <v>0</v>
      </c>
    </row>
    <row r="984" spans="1:16" x14ac:dyDescent="0.25">
      <c r="A984">
        <v>983</v>
      </c>
      <c r="B984" t="s">
        <v>2626</v>
      </c>
      <c r="C984">
        <v>-1981</v>
      </c>
      <c r="D984" t="s">
        <v>24</v>
      </c>
      <c r="E984" t="s">
        <v>50</v>
      </c>
      <c r="F984" t="s">
        <v>64</v>
      </c>
      <c r="G984">
        <v>7.6</v>
      </c>
      <c r="H984">
        <v>77</v>
      </c>
      <c r="I984" t="s">
        <v>812</v>
      </c>
      <c r="J984" s="3">
        <v>178544</v>
      </c>
      <c r="K984" s="3" t="str">
        <f t="shared" si="65"/>
        <v>Don't Watch</v>
      </c>
      <c r="L984" s="3" t="str">
        <f t="shared" si="62"/>
        <v>Don't Watch</v>
      </c>
      <c r="M984" s="3"/>
      <c r="N984" s="3" t="str">
        <f t="shared" si="63"/>
        <v>Maybe</v>
      </c>
      <c r="O984" t="s">
        <v>2627</v>
      </c>
      <c r="P984" t="b">
        <f t="shared" si="64"/>
        <v>0</v>
      </c>
    </row>
    <row r="985" spans="1:16" x14ac:dyDescent="0.25">
      <c r="A985">
        <v>984</v>
      </c>
      <c r="B985" t="s">
        <v>2628</v>
      </c>
      <c r="C985">
        <v>-1977</v>
      </c>
      <c r="D985" t="s">
        <v>155</v>
      </c>
      <c r="E985" t="s">
        <v>515</v>
      </c>
      <c r="F985" t="s">
        <v>504</v>
      </c>
      <c r="G985">
        <v>7.6</v>
      </c>
      <c r="H985">
        <v>90</v>
      </c>
      <c r="I985" t="s">
        <v>43</v>
      </c>
      <c r="J985" s="3">
        <v>199164</v>
      </c>
      <c r="K985" s="3" t="str">
        <f t="shared" si="65"/>
        <v>Don't Watch</v>
      </c>
      <c r="L985" s="3" t="str">
        <f t="shared" si="62"/>
        <v>Don't Watch</v>
      </c>
      <c r="M985" s="3"/>
      <c r="N985" s="3" t="str">
        <f t="shared" si="63"/>
        <v>Maybe</v>
      </c>
      <c r="O985" t="s">
        <v>2137</v>
      </c>
      <c r="P985" t="b">
        <f t="shared" si="64"/>
        <v>0</v>
      </c>
    </row>
    <row r="986" spans="1:16" x14ac:dyDescent="0.25">
      <c r="A986">
        <v>985</v>
      </c>
      <c r="B986" t="s">
        <v>2629</v>
      </c>
      <c r="C986">
        <v>-1974</v>
      </c>
      <c r="D986" t="s">
        <v>236</v>
      </c>
      <c r="E986" t="s">
        <v>418</v>
      </c>
      <c r="F986" t="s">
        <v>1175</v>
      </c>
      <c r="G986">
        <v>7.6</v>
      </c>
      <c r="H986">
        <v>68</v>
      </c>
      <c r="I986" t="s">
        <v>2630</v>
      </c>
      <c r="J986" s="3">
        <v>30438</v>
      </c>
      <c r="K986" s="3" t="str">
        <f t="shared" si="65"/>
        <v>Don't Watch</v>
      </c>
      <c r="L986" s="3" t="str">
        <f t="shared" si="62"/>
        <v>Don't Watch</v>
      </c>
      <c r="M986" s="3"/>
      <c r="N986" s="3" t="str">
        <f t="shared" si="63"/>
        <v>Maybe</v>
      </c>
      <c r="O986" t="s">
        <v>2631</v>
      </c>
      <c r="P986" t="b">
        <f t="shared" si="64"/>
        <v>0</v>
      </c>
    </row>
    <row r="987" spans="1:16" x14ac:dyDescent="0.25">
      <c r="A987">
        <v>986</v>
      </c>
      <c r="B987" t="s">
        <v>2632</v>
      </c>
      <c r="C987">
        <v>-1973</v>
      </c>
      <c r="D987" t="s">
        <v>24</v>
      </c>
      <c r="E987" t="s">
        <v>249</v>
      </c>
      <c r="F987" t="s">
        <v>32</v>
      </c>
      <c r="G987">
        <v>7.6</v>
      </c>
      <c r="H987">
        <v>83</v>
      </c>
      <c r="I987" t="s">
        <v>2633</v>
      </c>
      <c r="J987" s="3">
        <v>103686</v>
      </c>
      <c r="K987" s="3" t="str">
        <f t="shared" si="65"/>
        <v>Don't Watch</v>
      </c>
      <c r="L987" s="3" t="str">
        <f t="shared" si="62"/>
        <v>Don't Watch</v>
      </c>
      <c r="M987" s="3"/>
      <c r="N987" s="3" t="str">
        <f t="shared" si="63"/>
        <v>Maybe</v>
      </c>
      <c r="O987" t="s">
        <v>679</v>
      </c>
      <c r="P987" t="b">
        <f t="shared" si="64"/>
        <v>0</v>
      </c>
    </row>
    <row r="988" spans="1:16" x14ac:dyDescent="0.25">
      <c r="A988">
        <v>987</v>
      </c>
      <c r="B988" t="s">
        <v>2634</v>
      </c>
      <c r="C988">
        <v>-1968</v>
      </c>
      <c r="D988" t="s">
        <v>74</v>
      </c>
      <c r="E988" t="s">
        <v>272</v>
      </c>
      <c r="F988" t="s">
        <v>2414</v>
      </c>
      <c r="G988">
        <v>7.6</v>
      </c>
      <c r="H988">
        <v>63</v>
      </c>
      <c r="I988" t="s">
        <v>2635</v>
      </c>
      <c r="J988" s="3">
        <v>57763</v>
      </c>
      <c r="K988" s="3" t="str">
        <f t="shared" si="65"/>
        <v>Don't Watch</v>
      </c>
      <c r="L988" s="3" t="str">
        <f t="shared" si="62"/>
        <v>Don't Watch</v>
      </c>
      <c r="M988" s="3"/>
      <c r="N988" s="3" t="str">
        <f t="shared" si="63"/>
        <v>Maybe</v>
      </c>
      <c r="P988" t="b">
        <f t="shared" si="64"/>
        <v>0</v>
      </c>
    </row>
    <row r="989" spans="1:16" x14ac:dyDescent="0.25">
      <c r="A989">
        <v>988</v>
      </c>
      <c r="B989" t="s">
        <v>2636</v>
      </c>
      <c r="C989">
        <v>-1968</v>
      </c>
      <c r="D989" t="s">
        <v>155</v>
      </c>
      <c r="E989" t="s">
        <v>291</v>
      </c>
      <c r="F989" t="s">
        <v>1287</v>
      </c>
      <c r="G989">
        <v>7.6</v>
      </c>
      <c r="H989">
        <v>86</v>
      </c>
      <c r="I989" t="s">
        <v>2637</v>
      </c>
      <c r="J989" s="3">
        <v>34752</v>
      </c>
      <c r="K989" s="3" t="str">
        <f t="shared" si="65"/>
        <v>Don't Watch</v>
      </c>
      <c r="L989" s="3" t="str">
        <f t="shared" si="62"/>
        <v>Don't Watch</v>
      </c>
      <c r="M989" s="3"/>
      <c r="N989" s="3" t="str">
        <f t="shared" si="63"/>
        <v>Maybe</v>
      </c>
      <c r="O989" t="s">
        <v>2638</v>
      </c>
      <c r="P989" t="b">
        <f t="shared" si="64"/>
        <v>0</v>
      </c>
    </row>
    <row r="990" spans="1:16" x14ac:dyDescent="0.25">
      <c r="A990">
        <v>989</v>
      </c>
      <c r="B990" t="s">
        <v>2639</v>
      </c>
      <c r="C990">
        <v>-1967</v>
      </c>
      <c r="D990" t="s">
        <v>49</v>
      </c>
      <c r="E990" t="s">
        <v>2640</v>
      </c>
      <c r="F990" t="s">
        <v>292</v>
      </c>
      <c r="G990">
        <v>7.6</v>
      </c>
      <c r="H990">
        <v>65</v>
      </c>
      <c r="I990" t="s">
        <v>2641</v>
      </c>
      <c r="J990" s="3">
        <v>179851</v>
      </c>
      <c r="K990" s="3" t="str">
        <f t="shared" si="65"/>
        <v>Don't Watch</v>
      </c>
      <c r="L990" s="3" t="str">
        <f t="shared" si="62"/>
        <v>Don't Watch</v>
      </c>
      <c r="M990" s="3"/>
      <c r="N990" s="3" t="str">
        <f t="shared" si="63"/>
        <v>Maybe</v>
      </c>
      <c r="O990" t="s">
        <v>2642</v>
      </c>
      <c r="P990" t="b">
        <f t="shared" si="64"/>
        <v>0</v>
      </c>
    </row>
    <row r="991" spans="1:16" x14ac:dyDescent="0.25">
      <c r="A991">
        <v>990</v>
      </c>
      <c r="B991" t="s">
        <v>2643</v>
      </c>
      <c r="C991">
        <v>-1965</v>
      </c>
      <c r="D991" t="s">
        <v>24</v>
      </c>
      <c r="E991" t="s">
        <v>291</v>
      </c>
      <c r="F991" t="s">
        <v>1337</v>
      </c>
      <c r="G991">
        <v>7.6</v>
      </c>
      <c r="H991">
        <v>91</v>
      </c>
      <c r="I991" t="s">
        <v>195</v>
      </c>
      <c r="J991" s="3">
        <v>52846</v>
      </c>
      <c r="K991" s="3" t="str">
        <f t="shared" si="65"/>
        <v>Don't Watch</v>
      </c>
      <c r="L991" s="3" t="str">
        <f t="shared" si="62"/>
        <v>Don't Watch</v>
      </c>
      <c r="M991" s="3"/>
      <c r="N991" s="3" t="str">
        <f t="shared" si="63"/>
        <v>Maybe</v>
      </c>
      <c r="P991" t="b">
        <f t="shared" si="64"/>
        <v>0</v>
      </c>
    </row>
    <row r="992" spans="1:16" x14ac:dyDescent="0.25">
      <c r="A992">
        <v>991</v>
      </c>
      <c r="B992" t="s">
        <v>2644</v>
      </c>
      <c r="C992">
        <v>-1963</v>
      </c>
      <c r="D992" t="s">
        <v>24</v>
      </c>
      <c r="E992" t="s">
        <v>202</v>
      </c>
      <c r="F992" t="s">
        <v>2645</v>
      </c>
      <c r="G992">
        <v>7.6</v>
      </c>
      <c r="H992">
        <v>90</v>
      </c>
      <c r="I992" t="s">
        <v>243</v>
      </c>
      <c r="J992" s="3">
        <v>186123</v>
      </c>
      <c r="K992" s="3" t="str">
        <f t="shared" si="65"/>
        <v>Don't Watch</v>
      </c>
      <c r="L992" s="3" t="str">
        <f t="shared" si="62"/>
        <v>Don't Watch</v>
      </c>
      <c r="M992" s="3"/>
      <c r="N992" s="3" t="str">
        <f t="shared" si="63"/>
        <v>Maybe</v>
      </c>
      <c r="O992" t="s">
        <v>2646</v>
      </c>
      <c r="P992" t="b">
        <f t="shared" si="64"/>
        <v>0</v>
      </c>
    </row>
    <row r="993" spans="1:16" x14ac:dyDescent="0.25">
      <c r="A993">
        <v>992</v>
      </c>
      <c r="B993" t="s">
        <v>2647</v>
      </c>
      <c r="C993">
        <v>-1961</v>
      </c>
      <c r="D993" t="s">
        <v>74</v>
      </c>
      <c r="E993" t="s">
        <v>342</v>
      </c>
      <c r="F993" t="s">
        <v>132</v>
      </c>
      <c r="G993">
        <v>7.6</v>
      </c>
      <c r="H993">
        <v>76</v>
      </c>
      <c r="I993" t="s">
        <v>2648</v>
      </c>
      <c r="J993" s="3">
        <v>178134</v>
      </c>
      <c r="K993" s="3" t="str">
        <f t="shared" si="65"/>
        <v>Don't Watch</v>
      </c>
      <c r="L993" s="3" t="str">
        <f t="shared" si="62"/>
        <v>Don't Watch</v>
      </c>
      <c r="M993" s="3"/>
      <c r="N993" s="3" t="str">
        <f t="shared" si="63"/>
        <v>Maybe</v>
      </c>
      <c r="P993" t="b">
        <f t="shared" si="64"/>
        <v>0</v>
      </c>
    </row>
    <row r="994" spans="1:16" x14ac:dyDescent="0.25">
      <c r="A994">
        <v>993</v>
      </c>
      <c r="B994" t="s">
        <v>2649</v>
      </c>
      <c r="C994">
        <v>-1960</v>
      </c>
      <c r="D994" t="s">
        <v>24</v>
      </c>
      <c r="E994" t="s">
        <v>321</v>
      </c>
      <c r="F994" t="s">
        <v>1337</v>
      </c>
      <c r="G994">
        <v>7.6</v>
      </c>
      <c r="I994" t="s">
        <v>1034</v>
      </c>
      <c r="J994" s="3">
        <v>35011</v>
      </c>
      <c r="K994" s="3" t="str">
        <f t="shared" si="65"/>
        <v>Don't Watch</v>
      </c>
      <c r="L994" s="3" t="str">
        <f t="shared" si="62"/>
        <v>Don't Watch</v>
      </c>
      <c r="M994" s="3"/>
      <c r="N994" s="3" t="str">
        <f t="shared" si="63"/>
        <v>Maybe</v>
      </c>
      <c r="O994" t="s">
        <v>667</v>
      </c>
      <c r="P994" t="b">
        <f t="shared" si="64"/>
        <v>0</v>
      </c>
    </row>
    <row r="995" spans="1:16" x14ac:dyDescent="0.25">
      <c r="A995">
        <v>994</v>
      </c>
      <c r="B995" t="s">
        <v>2650</v>
      </c>
      <c r="C995">
        <v>-1960</v>
      </c>
      <c r="D995">
        <v>15</v>
      </c>
      <c r="E995" t="s">
        <v>1244</v>
      </c>
      <c r="F995" t="s">
        <v>350</v>
      </c>
      <c r="G995">
        <v>7.6</v>
      </c>
      <c r="H995">
        <v>90</v>
      </c>
      <c r="I995" t="s">
        <v>2651</v>
      </c>
      <c r="J995" s="3">
        <v>31294</v>
      </c>
      <c r="K995" s="3" t="str">
        <f t="shared" si="65"/>
        <v>Don't Watch</v>
      </c>
      <c r="L995" s="3" t="str">
        <f t="shared" si="62"/>
        <v>Don't Watch</v>
      </c>
      <c r="M995" s="3"/>
      <c r="N995" s="3" t="str">
        <f t="shared" si="63"/>
        <v>Maybe</v>
      </c>
      <c r="O995" t="s">
        <v>1333</v>
      </c>
      <c r="P995" t="b">
        <f t="shared" si="64"/>
        <v>0</v>
      </c>
    </row>
    <row r="996" spans="1:16" x14ac:dyDescent="0.25">
      <c r="A996">
        <v>995</v>
      </c>
      <c r="B996" t="s">
        <v>2652</v>
      </c>
      <c r="C996">
        <v>-1955</v>
      </c>
      <c r="D996" t="s">
        <v>74</v>
      </c>
      <c r="E996" t="s">
        <v>610</v>
      </c>
      <c r="F996" t="s">
        <v>20</v>
      </c>
      <c r="G996">
        <v>7.6</v>
      </c>
      <c r="H996">
        <v>89</v>
      </c>
      <c r="I996" t="s">
        <v>1664</v>
      </c>
      <c r="J996" s="3">
        <v>89947</v>
      </c>
      <c r="K996" s="3" t="str">
        <f t="shared" si="65"/>
        <v>Don't Watch</v>
      </c>
      <c r="L996" s="3" t="str">
        <f t="shared" si="62"/>
        <v>Don't Watch</v>
      </c>
      <c r="M996" s="3"/>
      <c r="N996" s="3" t="str">
        <f t="shared" si="63"/>
        <v>Maybe</v>
      </c>
      <c r="P996" t="b">
        <f t="shared" si="64"/>
        <v>0</v>
      </c>
    </row>
    <row r="997" spans="1:16" x14ac:dyDescent="0.25">
      <c r="A997">
        <v>996</v>
      </c>
      <c r="B997" t="s">
        <v>2653</v>
      </c>
      <c r="C997">
        <v>-1954</v>
      </c>
      <c r="D997" t="s">
        <v>49</v>
      </c>
      <c r="E997" t="s">
        <v>325</v>
      </c>
      <c r="F997" t="s">
        <v>132</v>
      </c>
      <c r="G997">
        <v>7.6</v>
      </c>
      <c r="H997">
        <v>72</v>
      </c>
      <c r="I997" t="s">
        <v>360</v>
      </c>
      <c r="J997" s="3">
        <v>64498</v>
      </c>
      <c r="K997" s="3" t="str">
        <f t="shared" si="65"/>
        <v>Don't Watch</v>
      </c>
      <c r="L997" s="3" t="str">
        <f t="shared" si="62"/>
        <v>Don't Watch</v>
      </c>
      <c r="M997" s="3"/>
      <c r="N997" s="3" t="str">
        <f t="shared" si="63"/>
        <v>Must Watch</v>
      </c>
      <c r="P997" t="b">
        <f t="shared" si="64"/>
        <v>0</v>
      </c>
    </row>
    <row r="998" spans="1:16" x14ac:dyDescent="0.25">
      <c r="A998">
        <v>997</v>
      </c>
      <c r="B998" t="s">
        <v>2654</v>
      </c>
      <c r="C998">
        <v>-1953</v>
      </c>
      <c r="D998" t="s">
        <v>74</v>
      </c>
      <c r="E998" t="s">
        <v>143</v>
      </c>
      <c r="F998" t="s">
        <v>250</v>
      </c>
      <c r="G998">
        <v>7.6</v>
      </c>
      <c r="H998">
        <v>85</v>
      </c>
      <c r="I998" t="s">
        <v>1366</v>
      </c>
      <c r="J998" s="3">
        <v>46804</v>
      </c>
      <c r="K998" s="3" t="str">
        <f t="shared" si="65"/>
        <v>Don't Watch</v>
      </c>
      <c r="L998" s="3" t="str">
        <f t="shared" si="62"/>
        <v>Don't Watch</v>
      </c>
      <c r="M998" s="3"/>
      <c r="N998" s="3" t="str">
        <f t="shared" si="63"/>
        <v>Maybe</v>
      </c>
      <c r="O998" t="s">
        <v>2655</v>
      </c>
      <c r="P998" t="b">
        <f t="shared" si="64"/>
        <v>0</v>
      </c>
    </row>
    <row r="999" spans="1:16" x14ac:dyDescent="0.25">
      <c r="A999">
        <v>998</v>
      </c>
      <c r="B999" t="s">
        <v>2656</v>
      </c>
      <c r="C999">
        <v>-1937</v>
      </c>
      <c r="D999" t="s">
        <v>155</v>
      </c>
      <c r="E999" t="s">
        <v>1555</v>
      </c>
      <c r="F999" t="s">
        <v>120</v>
      </c>
      <c r="G999">
        <v>7.6</v>
      </c>
      <c r="H999">
        <v>95</v>
      </c>
      <c r="I999" t="s">
        <v>2657</v>
      </c>
      <c r="J999" s="3">
        <v>196361</v>
      </c>
      <c r="K999" s="3" t="str">
        <f t="shared" si="65"/>
        <v>Don't Watch</v>
      </c>
      <c r="L999" s="3" t="str">
        <f t="shared" si="62"/>
        <v>Don't Watch</v>
      </c>
      <c r="M999" s="3"/>
      <c r="N999" s="3" t="str">
        <f t="shared" si="63"/>
        <v>Maybe</v>
      </c>
      <c r="O999" t="s">
        <v>2658</v>
      </c>
      <c r="P999" t="b">
        <f t="shared" si="64"/>
        <v>0</v>
      </c>
    </row>
    <row r="1000" spans="1:16" x14ac:dyDescent="0.25">
      <c r="A1000">
        <v>999</v>
      </c>
      <c r="B1000" t="s">
        <v>2659</v>
      </c>
      <c r="C1000">
        <v>-1935</v>
      </c>
      <c r="D1000" t="s">
        <v>155</v>
      </c>
      <c r="E1000" t="s">
        <v>890</v>
      </c>
      <c r="F1000" t="s">
        <v>500</v>
      </c>
      <c r="G1000">
        <v>7.6</v>
      </c>
      <c r="H1000">
        <v>93</v>
      </c>
      <c r="I1000" t="s">
        <v>243</v>
      </c>
      <c r="J1000" s="3">
        <v>56586</v>
      </c>
      <c r="K1000" s="3" t="str">
        <f t="shared" si="65"/>
        <v>Don't Watch</v>
      </c>
      <c r="L1000" s="3" t="str">
        <f t="shared" si="62"/>
        <v>Don't Watch</v>
      </c>
      <c r="M1000" s="3"/>
      <c r="N1000" s="3" t="str">
        <f t="shared" si="63"/>
        <v>Maybe</v>
      </c>
      <c r="P1000" t="b">
        <f t="shared" si="64"/>
        <v>0</v>
      </c>
    </row>
    <row r="1001" spans="1:16" x14ac:dyDescent="0.25">
      <c r="A1001" s="4">
        <v>1000</v>
      </c>
      <c r="B1001" t="s">
        <v>2660</v>
      </c>
      <c r="C1001">
        <v>-1933</v>
      </c>
      <c r="D1001" t="s">
        <v>155</v>
      </c>
      <c r="E1001" t="s">
        <v>2661</v>
      </c>
      <c r="F1001" t="s">
        <v>233</v>
      </c>
      <c r="G1001">
        <v>7.6</v>
      </c>
      <c r="H1001">
        <v>87</v>
      </c>
      <c r="I1001" t="s">
        <v>2040</v>
      </c>
      <c r="J1001" s="3">
        <v>34632</v>
      </c>
      <c r="K1001" s="3" t="str">
        <f t="shared" si="65"/>
        <v>Don't Watch</v>
      </c>
      <c r="L1001" s="3" t="str">
        <f t="shared" si="62"/>
        <v>Don't Watch</v>
      </c>
      <c r="M1001" s="3"/>
      <c r="N1001" s="3" t="str">
        <f t="shared" si="63"/>
        <v>Maybe</v>
      </c>
      <c r="P1001" t="b">
        <f t="shared" si="6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8480-C9D3-49BB-8930-B773DE9622EB}">
  <dimension ref="A1:D5"/>
  <sheetViews>
    <sheetView workbookViewId="0">
      <selection activeCell="C2" sqref="C2:C5"/>
    </sheetView>
  </sheetViews>
  <sheetFormatPr defaultRowHeight="15" x14ac:dyDescent="0.25"/>
  <cols>
    <col min="1" max="1" width="15.7109375" bestFit="1" customWidth="1"/>
    <col min="2" max="2" width="13.42578125" style="5" bestFit="1" customWidth="1"/>
    <col min="3" max="3" width="14.140625" style="5" bestFit="1" customWidth="1"/>
    <col min="4" max="4" width="8.140625" bestFit="1" customWidth="1"/>
  </cols>
  <sheetData>
    <row r="1" spans="1:4" x14ac:dyDescent="0.25">
      <c r="A1" t="s">
        <v>2669</v>
      </c>
      <c r="B1" s="5" t="s">
        <v>2670</v>
      </c>
      <c r="C1" s="5" t="s">
        <v>2671</v>
      </c>
      <c r="D1" t="s">
        <v>2672</v>
      </c>
    </row>
    <row r="2" spans="1:4" x14ac:dyDescent="0.25">
      <c r="A2" t="s">
        <v>2673</v>
      </c>
      <c r="B2" s="5">
        <v>500000</v>
      </c>
      <c r="C2" s="5">
        <f>B2*$D$2</f>
        <v>30000</v>
      </c>
      <c r="D2" s="6">
        <v>0.06</v>
      </c>
    </row>
    <row r="3" spans="1:4" x14ac:dyDescent="0.25">
      <c r="A3" t="s">
        <v>2674</v>
      </c>
      <c r="B3" s="5">
        <v>600000</v>
      </c>
      <c r="C3" s="5">
        <f t="shared" ref="C3:C5" si="0">B3*$D$2</f>
        <v>36000</v>
      </c>
    </row>
    <row r="4" spans="1:4" x14ac:dyDescent="0.25">
      <c r="A4" t="s">
        <v>2675</v>
      </c>
      <c r="B4" s="5">
        <v>840000</v>
      </c>
      <c r="C4" s="5">
        <f t="shared" si="0"/>
        <v>50400</v>
      </c>
    </row>
    <row r="5" spans="1:4" x14ac:dyDescent="0.25">
      <c r="A5" t="s">
        <v>2676</v>
      </c>
      <c r="B5" s="5">
        <v>100000</v>
      </c>
      <c r="C5" s="5">
        <f t="shared" si="0"/>
        <v>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C597-4538-4AF1-AFD7-F1A8F83AD68F}">
  <dimension ref="A1:C11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2678</v>
      </c>
      <c r="B1" t="s">
        <v>2679</v>
      </c>
      <c r="C1" t="s">
        <v>2680</v>
      </c>
    </row>
    <row r="2" spans="1:3" x14ac:dyDescent="0.25">
      <c r="A2">
        <v>1</v>
      </c>
      <c r="B2">
        <v>11</v>
      </c>
      <c r="C2">
        <f>SUMPRODUCT(A2:A11, B2:B11)</f>
        <v>935</v>
      </c>
    </row>
    <row r="3" spans="1:3" x14ac:dyDescent="0.25">
      <c r="A3">
        <v>2</v>
      </c>
      <c r="B3">
        <v>12</v>
      </c>
      <c r="C3">
        <f t="shared" ref="C3:C11" si="0">SUMPRODUCT(A3:A12, B3:B12)</f>
        <v>924</v>
      </c>
    </row>
    <row r="4" spans="1:3" x14ac:dyDescent="0.25">
      <c r="A4">
        <v>3</v>
      </c>
      <c r="B4">
        <v>13</v>
      </c>
      <c r="C4">
        <f t="shared" si="0"/>
        <v>900</v>
      </c>
    </row>
    <row r="5" spans="1:3" x14ac:dyDescent="0.25">
      <c r="A5">
        <v>4</v>
      </c>
      <c r="B5">
        <v>14</v>
      </c>
      <c r="C5">
        <f t="shared" si="0"/>
        <v>861</v>
      </c>
    </row>
    <row r="6" spans="1:3" x14ac:dyDescent="0.25">
      <c r="A6">
        <v>5</v>
      </c>
      <c r="B6">
        <v>15</v>
      </c>
      <c r="C6">
        <f t="shared" si="0"/>
        <v>805</v>
      </c>
    </row>
    <row r="7" spans="1:3" x14ac:dyDescent="0.25">
      <c r="A7">
        <v>6</v>
      </c>
      <c r="B7">
        <v>16</v>
      </c>
      <c r="C7">
        <f t="shared" si="0"/>
        <v>730</v>
      </c>
    </row>
    <row r="8" spans="1:3" x14ac:dyDescent="0.25">
      <c r="A8">
        <v>7</v>
      </c>
      <c r="B8">
        <v>17</v>
      </c>
      <c r="C8">
        <f t="shared" si="0"/>
        <v>634</v>
      </c>
    </row>
    <row r="9" spans="1:3" x14ac:dyDescent="0.25">
      <c r="A9">
        <v>8</v>
      </c>
      <c r="B9">
        <v>18</v>
      </c>
      <c r="C9">
        <f t="shared" si="0"/>
        <v>515</v>
      </c>
    </row>
    <row r="10" spans="1:3" x14ac:dyDescent="0.25">
      <c r="A10">
        <v>9</v>
      </c>
      <c r="B10">
        <v>19</v>
      </c>
      <c r="C10">
        <f t="shared" si="0"/>
        <v>371</v>
      </c>
    </row>
    <row r="11" spans="1:3" x14ac:dyDescent="0.25">
      <c r="A11">
        <v>10</v>
      </c>
      <c r="B11">
        <v>20</v>
      </c>
      <c r="C11">
        <f t="shared" si="0"/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D34E-61D8-400B-8B72-013A34593269}">
  <dimension ref="A1:B7"/>
  <sheetViews>
    <sheetView tabSelected="1" workbookViewId="0">
      <selection sqref="A1:XFD1048576"/>
    </sheetView>
  </sheetViews>
  <sheetFormatPr defaultRowHeight="15" x14ac:dyDescent="0.25"/>
  <cols>
    <col min="1" max="1" width="11.140625" bestFit="1" customWidth="1"/>
    <col min="2" max="2" width="11.42578125" bestFit="1" customWidth="1"/>
  </cols>
  <sheetData>
    <row r="1" spans="1:2" x14ac:dyDescent="0.25">
      <c r="A1" t="s">
        <v>2681</v>
      </c>
      <c r="B1" t="s">
        <v>2677</v>
      </c>
    </row>
    <row r="2" spans="1:2" x14ac:dyDescent="0.25">
      <c r="A2">
        <v>45000</v>
      </c>
      <c r="B2" t="str">
        <f>IF(A2&gt;15000, "POSITIVE", "NEGATIVE")</f>
        <v>POSITIVE</v>
      </c>
    </row>
    <row r="3" spans="1:2" x14ac:dyDescent="0.25">
      <c r="A3">
        <v>1500</v>
      </c>
      <c r="B3" t="str">
        <f t="shared" ref="B3:B7" si="0">IF(A3&gt;15000, "POSITIVE", "NEGATIVE")</f>
        <v>NEGATIVE</v>
      </c>
    </row>
    <row r="4" spans="1:2" x14ac:dyDescent="0.25">
      <c r="A4">
        <v>1200</v>
      </c>
      <c r="B4" t="str">
        <f t="shared" si="0"/>
        <v>NEGATIVE</v>
      </c>
    </row>
    <row r="5" spans="1:2" x14ac:dyDescent="0.25">
      <c r="A5">
        <v>10000</v>
      </c>
      <c r="B5" t="str">
        <f t="shared" si="0"/>
        <v>NEGATIVE</v>
      </c>
    </row>
    <row r="6" spans="1:2" x14ac:dyDescent="0.25">
      <c r="A6">
        <v>45120</v>
      </c>
      <c r="B6" t="str">
        <f t="shared" si="0"/>
        <v>POSITIVE</v>
      </c>
    </row>
    <row r="7" spans="1:2" x14ac:dyDescent="0.25">
      <c r="A7">
        <v>14231</v>
      </c>
      <c r="B7" t="str">
        <f t="shared" si="0"/>
        <v>NEGATIVE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AC17-E5CE-4A4D-9756-C705247C91FF}">
  <dimension ref="A1:M1001"/>
  <sheetViews>
    <sheetView workbookViewId="0">
      <selection sqref="A1:XFD1048576"/>
    </sheetView>
  </sheetViews>
  <sheetFormatPr defaultColWidth="12.5703125" defaultRowHeight="15" x14ac:dyDescent="0.25"/>
  <cols>
    <col min="1" max="1" width="17.28515625" bestFit="1" customWidth="1"/>
    <col min="2" max="2" width="64.85546875" bestFit="1" customWidth="1"/>
    <col min="3" max="4" width="10" bestFit="1" customWidth="1"/>
    <col min="5" max="5" width="8.140625" bestFit="1" customWidth="1"/>
    <col min="6" max="6" width="29.7109375" bestFit="1" customWidth="1"/>
    <col min="7" max="7" width="7.7109375" bestFit="1" customWidth="1"/>
    <col min="8" max="8" width="10.28515625" bestFit="1" customWidth="1"/>
    <col min="9" max="9" width="32.28515625" bestFit="1" customWidth="1"/>
    <col min="10" max="10" width="9.140625" bestFit="1" customWidth="1"/>
    <col min="11" max="11" width="19.5703125" bestFit="1" customWidth="1"/>
    <col min="13" max="13" width="12.7109375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M1" t="s">
        <v>2677</v>
      </c>
    </row>
    <row r="2" spans="1:13" x14ac:dyDescent="0.25">
      <c r="A2">
        <v>1</v>
      </c>
      <c r="B2" t="s">
        <v>18</v>
      </c>
      <c r="C2">
        <v>-1994</v>
      </c>
      <c r="D2">
        <v>15</v>
      </c>
      <c r="E2" t="s">
        <v>19</v>
      </c>
      <c r="F2" t="s">
        <v>20</v>
      </c>
      <c r="G2">
        <v>9.3000000000000007</v>
      </c>
      <c r="H2">
        <v>81</v>
      </c>
      <c r="I2" t="s">
        <v>21</v>
      </c>
      <c r="J2" s="3">
        <v>2603314</v>
      </c>
      <c r="K2" t="s">
        <v>22</v>
      </c>
      <c r="M2" s="3" t="str">
        <f>IF(I2="Billy Wilder", "Must Watch", IF(I2="John Ford", "Watch", "Maybe"))</f>
        <v>Maybe</v>
      </c>
    </row>
    <row r="3" spans="1:13" x14ac:dyDescent="0.25">
      <c r="A3">
        <v>2</v>
      </c>
      <c r="B3" t="s">
        <v>23</v>
      </c>
      <c r="C3">
        <v>-1972</v>
      </c>
      <c r="D3" t="s">
        <v>24</v>
      </c>
      <c r="E3" t="s">
        <v>25</v>
      </c>
      <c r="F3" t="s">
        <v>26</v>
      </c>
      <c r="G3">
        <v>9.1999999999999993</v>
      </c>
      <c r="H3">
        <v>100</v>
      </c>
      <c r="I3" t="s">
        <v>27</v>
      </c>
      <c r="J3" s="3">
        <v>1798731</v>
      </c>
      <c r="K3" t="s">
        <v>28</v>
      </c>
      <c r="M3" s="3" t="str">
        <f>IF(I3="Billy Wilder", "Must Watch", IF(I3="John Ford", "Watch", "Maybe"))</f>
        <v>Maybe</v>
      </c>
    </row>
    <row r="4" spans="1:13" x14ac:dyDescent="0.25">
      <c r="A4">
        <v>3</v>
      </c>
      <c r="B4" t="s">
        <v>29</v>
      </c>
      <c r="C4">
        <v>-2008</v>
      </c>
      <c r="D4" t="s">
        <v>30</v>
      </c>
      <c r="E4" t="s">
        <v>31</v>
      </c>
      <c r="F4" t="s">
        <v>32</v>
      </c>
      <c r="G4">
        <v>9</v>
      </c>
      <c r="H4">
        <v>84</v>
      </c>
      <c r="I4" t="s">
        <v>33</v>
      </c>
      <c r="J4" s="3">
        <v>2574810</v>
      </c>
      <c r="K4" t="s">
        <v>34</v>
      </c>
      <c r="M4" s="3" t="str">
        <f>IF(I4="Billy Wilder", "Must Watch", IF(I4="John Ford", "Watch", "Maybe"))</f>
        <v>Maybe</v>
      </c>
    </row>
    <row r="5" spans="1:13" x14ac:dyDescent="0.25">
      <c r="A5">
        <v>4</v>
      </c>
      <c r="B5" t="s">
        <v>35</v>
      </c>
      <c r="C5">
        <v>-2003</v>
      </c>
      <c r="D5" t="s">
        <v>30</v>
      </c>
      <c r="E5" t="s">
        <v>36</v>
      </c>
      <c r="F5" t="s">
        <v>37</v>
      </c>
      <c r="G5">
        <v>9</v>
      </c>
      <c r="H5">
        <v>94</v>
      </c>
      <c r="I5" t="s">
        <v>38</v>
      </c>
      <c r="J5" s="3">
        <v>1787701</v>
      </c>
      <c r="K5" t="s">
        <v>39</v>
      </c>
      <c r="M5" s="3" t="str">
        <f>IF(I5="Billy Wilder", "Must Watch", IF(I5="John Ford", "Watch", "Maybe"))</f>
        <v>Maybe</v>
      </c>
    </row>
    <row r="6" spans="1:13" x14ac:dyDescent="0.25">
      <c r="A6">
        <v>5</v>
      </c>
      <c r="B6" t="s">
        <v>40</v>
      </c>
      <c r="C6">
        <v>-1993</v>
      </c>
      <c r="D6">
        <v>15</v>
      </c>
      <c r="E6" t="s">
        <v>41</v>
      </c>
      <c r="F6" t="s">
        <v>42</v>
      </c>
      <c r="G6">
        <v>9</v>
      </c>
      <c r="H6">
        <v>94</v>
      </c>
      <c r="I6" t="s">
        <v>43</v>
      </c>
      <c r="J6" s="3">
        <v>1323776</v>
      </c>
      <c r="K6" t="s">
        <v>44</v>
      </c>
      <c r="M6" s="3" t="str">
        <f>IF(I6="Billy Wilder", "Must Watch", IF(I6="John Ford", "Watch", "Maybe"))</f>
        <v>Maybe</v>
      </c>
    </row>
    <row r="7" spans="1:13" x14ac:dyDescent="0.25">
      <c r="A7">
        <v>6</v>
      </c>
      <c r="B7" t="s">
        <v>45</v>
      </c>
      <c r="C7">
        <v>-1974</v>
      </c>
      <c r="D7" t="s">
        <v>24</v>
      </c>
      <c r="E7" t="s">
        <v>46</v>
      </c>
      <c r="F7" t="s">
        <v>26</v>
      </c>
      <c r="G7">
        <v>9</v>
      </c>
      <c r="H7">
        <v>90</v>
      </c>
      <c r="I7" t="s">
        <v>27</v>
      </c>
      <c r="J7" s="3">
        <v>1239027</v>
      </c>
      <c r="K7" t="s">
        <v>47</v>
      </c>
      <c r="M7" s="3" t="str">
        <f>IF(I7="Billy Wilder", "Must Watch", IF(I7="John Ford", "Watch", "Maybe"))</f>
        <v>Maybe</v>
      </c>
    </row>
    <row r="8" spans="1:13" x14ac:dyDescent="0.25">
      <c r="A8">
        <v>7</v>
      </c>
      <c r="B8" t="s">
        <v>48</v>
      </c>
      <c r="C8">
        <v>-1957</v>
      </c>
      <c r="D8" t="s">
        <v>49</v>
      </c>
      <c r="E8" t="s">
        <v>50</v>
      </c>
      <c r="F8" t="s">
        <v>26</v>
      </c>
      <c r="G8">
        <v>9</v>
      </c>
      <c r="H8">
        <v>96</v>
      </c>
      <c r="I8" t="s">
        <v>51</v>
      </c>
      <c r="J8" s="3">
        <v>769113</v>
      </c>
      <c r="K8" t="s">
        <v>52</v>
      </c>
      <c r="M8" s="3" t="str">
        <f>IF(I8="Billy Wilder", "Must Watch", IF(I8="John Ford", "Watch", "Maybe"))</f>
        <v>Maybe</v>
      </c>
    </row>
    <row r="9" spans="1:13" x14ac:dyDescent="0.25">
      <c r="A9">
        <v>8</v>
      </c>
      <c r="B9" t="s">
        <v>53</v>
      </c>
      <c r="C9">
        <v>-2021</v>
      </c>
      <c r="D9" t="s">
        <v>54</v>
      </c>
      <c r="E9" t="s">
        <v>55</v>
      </c>
      <c r="F9" t="s">
        <v>56</v>
      </c>
      <c r="G9">
        <v>8.9</v>
      </c>
      <c r="I9" t="s">
        <v>57</v>
      </c>
      <c r="J9" s="3">
        <v>191329</v>
      </c>
      <c r="M9" s="3" t="str">
        <f>IF(I9="Billy Wilder", "Must Watch", IF(I9="John Ford", "Watch", "Maybe"))</f>
        <v>Maybe</v>
      </c>
    </row>
    <row r="10" spans="1:13" x14ac:dyDescent="0.25">
      <c r="A10">
        <v>9</v>
      </c>
      <c r="B10" t="s">
        <v>58</v>
      </c>
      <c r="C10">
        <v>-1994</v>
      </c>
      <c r="D10">
        <v>18</v>
      </c>
      <c r="E10" t="s">
        <v>59</v>
      </c>
      <c r="F10" t="s">
        <v>26</v>
      </c>
      <c r="G10">
        <v>8.9</v>
      </c>
      <c r="H10">
        <v>94</v>
      </c>
      <c r="I10" t="s">
        <v>60</v>
      </c>
      <c r="J10" s="3">
        <v>1995346</v>
      </c>
      <c r="K10" t="s">
        <v>61</v>
      </c>
      <c r="M10" s="3" t="str">
        <f>IF(I10="Billy Wilder", "Must Watch", IF(I10="John Ford", "Watch", "Maybe"))</f>
        <v>Maybe</v>
      </c>
    </row>
    <row r="11" spans="1:13" x14ac:dyDescent="0.25">
      <c r="A11">
        <v>10</v>
      </c>
      <c r="B11" t="s">
        <v>62</v>
      </c>
      <c r="C11">
        <v>-2010</v>
      </c>
      <c r="D11" t="s">
        <v>30</v>
      </c>
      <c r="E11" t="s">
        <v>63</v>
      </c>
      <c r="F11" t="s">
        <v>64</v>
      </c>
      <c r="G11">
        <v>8.8000000000000007</v>
      </c>
      <c r="H11">
        <v>74</v>
      </c>
      <c r="I11" t="s">
        <v>33</v>
      </c>
      <c r="J11" s="3">
        <v>2284252</v>
      </c>
      <c r="K11" t="s">
        <v>65</v>
      </c>
      <c r="M11" s="3" t="str">
        <f>IF(I11="Billy Wilder", "Must Watch", IF(I11="John Ford", "Watch", "Maybe"))</f>
        <v>Maybe</v>
      </c>
    </row>
    <row r="12" spans="1:13" x14ac:dyDescent="0.25">
      <c r="A12">
        <v>11</v>
      </c>
      <c r="B12" t="s">
        <v>66</v>
      </c>
      <c r="C12">
        <v>-2002</v>
      </c>
      <c r="D12" t="s">
        <v>30</v>
      </c>
      <c r="E12" t="s">
        <v>67</v>
      </c>
      <c r="F12" t="s">
        <v>37</v>
      </c>
      <c r="G12">
        <v>8.8000000000000007</v>
      </c>
      <c r="H12">
        <v>87</v>
      </c>
      <c r="I12" t="s">
        <v>38</v>
      </c>
      <c r="J12" s="3">
        <v>1614489</v>
      </c>
      <c r="K12" t="s">
        <v>68</v>
      </c>
      <c r="M12" s="3" t="str">
        <f>IF(I12="Billy Wilder", "Must Watch", IF(I12="John Ford", "Watch", "Maybe"))</f>
        <v>Maybe</v>
      </c>
    </row>
    <row r="13" spans="1:13" x14ac:dyDescent="0.25">
      <c r="A13">
        <v>12</v>
      </c>
      <c r="B13" t="s">
        <v>69</v>
      </c>
      <c r="C13">
        <v>-1999</v>
      </c>
      <c r="D13">
        <v>18</v>
      </c>
      <c r="E13" t="s">
        <v>70</v>
      </c>
      <c r="F13" t="s">
        <v>20</v>
      </c>
      <c r="G13">
        <v>8.8000000000000007</v>
      </c>
      <c r="H13">
        <v>66</v>
      </c>
      <c r="I13" t="s">
        <v>71</v>
      </c>
      <c r="J13" s="3">
        <v>2050591</v>
      </c>
      <c r="K13" t="s">
        <v>72</v>
      </c>
      <c r="M13" s="3" t="str">
        <f>IF(I13="Billy Wilder", "Must Watch", IF(I13="John Ford", "Watch", "Maybe"))</f>
        <v>Maybe</v>
      </c>
    </row>
    <row r="14" spans="1:13" x14ac:dyDescent="0.25">
      <c r="A14">
        <v>13</v>
      </c>
      <c r="B14" t="s">
        <v>73</v>
      </c>
      <c r="C14">
        <v>-2001</v>
      </c>
      <c r="D14" t="s">
        <v>74</v>
      </c>
      <c r="E14" t="s">
        <v>75</v>
      </c>
      <c r="F14" t="s">
        <v>37</v>
      </c>
      <c r="G14">
        <v>8.8000000000000007</v>
      </c>
      <c r="H14">
        <v>92</v>
      </c>
      <c r="I14" t="s">
        <v>38</v>
      </c>
      <c r="J14" s="3">
        <v>1808760</v>
      </c>
      <c r="K14" t="s">
        <v>76</v>
      </c>
      <c r="M14" s="3" t="str">
        <f>IF(I14="Billy Wilder", "Must Watch", IF(I14="John Ford", "Watch", "Maybe"))</f>
        <v>Maybe</v>
      </c>
    </row>
    <row r="15" spans="1:13" x14ac:dyDescent="0.25">
      <c r="A15">
        <v>14</v>
      </c>
      <c r="B15" t="s">
        <v>77</v>
      </c>
      <c r="C15">
        <v>-1994</v>
      </c>
      <c r="D15">
        <v>12</v>
      </c>
      <c r="E15" t="s">
        <v>19</v>
      </c>
      <c r="F15" t="s">
        <v>78</v>
      </c>
      <c r="G15">
        <v>8.8000000000000007</v>
      </c>
      <c r="H15">
        <v>82</v>
      </c>
      <c r="I15" t="s">
        <v>79</v>
      </c>
      <c r="J15" s="3">
        <v>2011517</v>
      </c>
      <c r="K15" t="s">
        <v>80</v>
      </c>
      <c r="M15" s="3" t="str">
        <f>IF(I15="Billy Wilder", "Must Watch", IF(I15="John Ford", "Watch", "Maybe"))</f>
        <v>Maybe</v>
      </c>
    </row>
    <row r="16" spans="1:13" x14ac:dyDescent="0.25">
      <c r="A16">
        <v>15</v>
      </c>
      <c r="B16" t="s">
        <v>81</v>
      </c>
      <c r="C16">
        <v>-1966</v>
      </c>
      <c r="D16" t="s">
        <v>24</v>
      </c>
      <c r="E16" t="s">
        <v>63</v>
      </c>
      <c r="F16" t="s">
        <v>82</v>
      </c>
      <c r="G16">
        <v>8.8000000000000007</v>
      </c>
      <c r="H16">
        <v>90</v>
      </c>
      <c r="I16" t="s">
        <v>83</v>
      </c>
      <c r="J16" s="3">
        <v>746445</v>
      </c>
      <c r="K16" t="s">
        <v>84</v>
      </c>
      <c r="M16" s="3" t="str">
        <f>IF(I16="Billy Wilder", "Must Watch", IF(I16="John Ford", "Watch", "Maybe"))</f>
        <v>Maybe</v>
      </c>
    </row>
    <row r="17" spans="1:13" x14ac:dyDescent="0.25">
      <c r="A17">
        <v>16</v>
      </c>
      <c r="B17" t="s">
        <v>85</v>
      </c>
      <c r="C17">
        <v>-2020</v>
      </c>
      <c r="D17">
        <v>15</v>
      </c>
      <c r="E17" t="s">
        <v>86</v>
      </c>
      <c r="F17" t="s">
        <v>20</v>
      </c>
      <c r="G17">
        <v>8.6999999999999993</v>
      </c>
      <c r="I17" t="s">
        <v>87</v>
      </c>
      <c r="J17" s="3">
        <v>111090</v>
      </c>
      <c r="M17" s="3" t="str">
        <f>IF(I17="Billy Wilder", "Must Watch", IF(I17="John Ford", "Watch", "Maybe"))</f>
        <v>Maybe</v>
      </c>
    </row>
    <row r="18" spans="1:13" x14ac:dyDescent="0.25">
      <c r="A18">
        <v>17</v>
      </c>
      <c r="B18" t="s">
        <v>88</v>
      </c>
      <c r="C18">
        <v>-1999</v>
      </c>
      <c r="D18">
        <v>15</v>
      </c>
      <c r="E18" t="s">
        <v>89</v>
      </c>
      <c r="F18" t="s">
        <v>90</v>
      </c>
      <c r="G18">
        <v>8.6999999999999993</v>
      </c>
      <c r="H18">
        <v>73</v>
      </c>
      <c r="I18" t="s">
        <v>91</v>
      </c>
      <c r="J18" s="3">
        <v>1868779</v>
      </c>
      <c r="K18" t="s">
        <v>92</v>
      </c>
      <c r="M18" s="3" t="str">
        <f>IF(I18="Billy Wilder", "Must Watch", IF(I18="John Ford", "Watch", "Maybe"))</f>
        <v>Maybe</v>
      </c>
    </row>
    <row r="19" spans="1:13" x14ac:dyDescent="0.25">
      <c r="A19">
        <v>18</v>
      </c>
      <c r="B19" t="s">
        <v>93</v>
      </c>
      <c r="C19">
        <v>-1990</v>
      </c>
      <c r="D19">
        <v>18</v>
      </c>
      <c r="E19" t="s">
        <v>94</v>
      </c>
      <c r="F19" t="s">
        <v>95</v>
      </c>
      <c r="G19">
        <v>8.6999999999999993</v>
      </c>
      <c r="H19">
        <v>90</v>
      </c>
      <c r="I19" t="s">
        <v>96</v>
      </c>
      <c r="J19" s="3">
        <v>1125939</v>
      </c>
      <c r="K19" t="s">
        <v>97</v>
      </c>
      <c r="M19" s="3" t="str">
        <f>IF(I19="Billy Wilder", "Must Watch", IF(I19="John Ford", "Watch", "Maybe"))</f>
        <v>Maybe</v>
      </c>
    </row>
    <row r="20" spans="1:13" x14ac:dyDescent="0.25">
      <c r="A20">
        <v>19</v>
      </c>
      <c r="B20" t="s">
        <v>98</v>
      </c>
      <c r="C20">
        <v>-1980</v>
      </c>
      <c r="D20" t="s">
        <v>49</v>
      </c>
      <c r="E20" t="s">
        <v>99</v>
      </c>
      <c r="F20" t="s">
        <v>100</v>
      </c>
      <c r="G20">
        <v>8.6999999999999993</v>
      </c>
      <c r="H20">
        <v>82</v>
      </c>
      <c r="I20" t="s">
        <v>101</v>
      </c>
      <c r="J20" s="3">
        <v>1260107</v>
      </c>
      <c r="K20" t="s">
        <v>102</v>
      </c>
      <c r="M20" s="3" t="str">
        <f>IF(I20="Billy Wilder", "Must Watch", IF(I20="John Ford", "Watch", "Maybe"))</f>
        <v>Maybe</v>
      </c>
    </row>
    <row r="21" spans="1:13" x14ac:dyDescent="0.25">
      <c r="A21">
        <v>20</v>
      </c>
      <c r="B21" t="s">
        <v>103</v>
      </c>
      <c r="C21">
        <v>-1975</v>
      </c>
      <c r="D21">
        <v>15</v>
      </c>
      <c r="E21" t="s">
        <v>104</v>
      </c>
      <c r="F21" t="s">
        <v>20</v>
      </c>
      <c r="G21">
        <v>8.6999999999999993</v>
      </c>
      <c r="H21">
        <v>84</v>
      </c>
      <c r="I21" t="s">
        <v>105</v>
      </c>
      <c r="J21" s="3">
        <v>988024</v>
      </c>
      <c r="K21" t="s">
        <v>106</v>
      </c>
      <c r="M21" s="3" t="str">
        <f>IF(I21="Billy Wilder", "Must Watch", IF(I21="John Ford", "Watch", "Maybe"))</f>
        <v>Maybe</v>
      </c>
    </row>
    <row r="22" spans="1:13" x14ac:dyDescent="0.25">
      <c r="A22">
        <v>21</v>
      </c>
      <c r="B22" t="s">
        <v>107</v>
      </c>
      <c r="C22">
        <v>-2022</v>
      </c>
      <c r="D22" t="s">
        <v>30</v>
      </c>
      <c r="E22" t="s">
        <v>108</v>
      </c>
      <c r="F22" t="s">
        <v>109</v>
      </c>
      <c r="G22">
        <v>8.6</v>
      </c>
      <c r="H22">
        <v>78</v>
      </c>
      <c r="I22" t="s">
        <v>110</v>
      </c>
      <c r="J22" s="3">
        <v>197691</v>
      </c>
      <c r="M22" s="3" t="str">
        <f>IF(I22="Billy Wilder", "Must Watch", IF(I22="John Ford", "Watch", "Maybe"))</f>
        <v>Maybe</v>
      </c>
    </row>
    <row r="23" spans="1:13" x14ac:dyDescent="0.25">
      <c r="A23">
        <v>22</v>
      </c>
      <c r="B23" t="s">
        <v>111</v>
      </c>
      <c r="C23">
        <v>-2014</v>
      </c>
      <c r="D23" t="s">
        <v>30</v>
      </c>
      <c r="E23" t="s">
        <v>112</v>
      </c>
      <c r="F23" t="s">
        <v>113</v>
      </c>
      <c r="G23">
        <v>8.6</v>
      </c>
      <c r="H23">
        <v>74</v>
      </c>
      <c r="I23" t="s">
        <v>33</v>
      </c>
      <c r="J23" s="3">
        <v>1745808</v>
      </c>
      <c r="K23" t="s">
        <v>114</v>
      </c>
      <c r="M23" s="3" t="str">
        <f>IF(I23="Billy Wilder", "Must Watch", IF(I23="John Ford", "Watch", "Maybe"))</f>
        <v>Maybe</v>
      </c>
    </row>
    <row r="24" spans="1:13" x14ac:dyDescent="0.25">
      <c r="A24">
        <v>23</v>
      </c>
      <c r="B24" t="s">
        <v>115</v>
      </c>
      <c r="C24">
        <v>-2002</v>
      </c>
      <c r="D24">
        <v>18</v>
      </c>
      <c r="E24" t="s">
        <v>108</v>
      </c>
      <c r="F24" t="s">
        <v>26</v>
      </c>
      <c r="G24">
        <v>8.6</v>
      </c>
      <c r="H24">
        <v>79</v>
      </c>
      <c r="I24" t="s">
        <v>116</v>
      </c>
      <c r="J24" s="3">
        <v>744265</v>
      </c>
      <c r="K24" t="s">
        <v>117</v>
      </c>
      <c r="M24" s="3" t="str">
        <f>IF(I24="Billy Wilder", "Must Watch", IF(I24="John Ford", "Watch", "Maybe"))</f>
        <v>Maybe</v>
      </c>
    </row>
    <row r="25" spans="1:13" x14ac:dyDescent="0.25">
      <c r="A25">
        <v>24</v>
      </c>
      <c r="B25" t="s">
        <v>118</v>
      </c>
      <c r="C25">
        <v>-2001</v>
      </c>
      <c r="D25" t="s">
        <v>74</v>
      </c>
      <c r="E25" t="s">
        <v>119</v>
      </c>
      <c r="F25" t="s">
        <v>120</v>
      </c>
      <c r="G25">
        <v>8.6</v>
      </c>
      <c r="H25">
        <v>96</v>
      </c>
      <c r="I25" t="s">
        <v>121</v>
      </c>
      <c r="J25" s="3">
        <v>738076</v>
      </c>
      <c r="K25" t="s">
        <v>122</v>
      </c>
      <c r="M25" s="3" t="str">
        <f>IF(I25="Billy Wilder", "Must Watch", IF(I25="John Ford", "Watch", "Maybe"))</f>
        <v>Maybe</v>
      </c>
    </row>
    <row r="26" spans="1:13" x14ac:dyDescent="0.25">
      <c r="A26">
        <v>25</v>
      </c>
      <c r="B26" t="s">
        <v>123</v>
      </c>
      <c r="C26">
        <v>-1998</v>
      </c>
      <c r="D26">
        <v>15</v>
      </c>
      <c r="E26" t="s">
        <v>112</v>
      </c>
      <c r="F26" t="s">
        <v>124</v>
      </c>
      <c r="G26">
        <v>8.6</v>
      </c>
      <c r="H26">
        <v>91</v>
      </c>
      <c r="I26" t="s">
        <v>43</v>
      </c>
      <c r="J26" s="3">
        <v>1355358</v>
      </c>
      <c r="K26" t="s">
        <v>125</v>
      </c>
      <c r="M26" s="3" t="str">
        <f>IF(I26="Billy Wilder", "Must Watch", IF(I26="John Ford", "Watch", "Maybe"))</f>
        <v>Maybe</v>
      </c>
    </row>
    <row r="27" spans="1:13" x14ac:dyDescent="0.25">
      <c r="A27">
        <v>26</v>
      </c>
      <c r="B27" t="s">
        <v>126</v>
      </c>
      <c r="C27">
        <v>-1999</v>
      </c>
      <c r="D27">
        <v>18</v>
      </c>
      <c r="E27" t="s">
        <v>127</v>
      </c>
      <c r="F27" t="s">
        <v>128</v>
      </c>
      <c r="G27">
        <v>8.6</v>
      </c>
      <c r="H27">
        <v>61</v>
      </c>
      <c r="I27" t="s">
        <v>21</v>
      </c>
      <c r="J27" s="3">
        <v>1265684</v>
      </c>
      <c r="K27" t="s">
        <v>129</v>
      </c>
      <c r="M27" s="3" t="str">
        <f>IF(I27="Billy Wilder", "Must Watch", IF(I27="John Ford", "Watch", "Maybe"))</f>
        <v>Maybe</v>
      </c>
    </row>
    <row r="28" spans="1:13" x14ac:dyDescent="0.25">
      <c r="A28">
        <v>27</v>
      </c>
      <c r="B28" t="s">
        <v>130</v>
      </c>
      <c r="C28">
        <v>-1997</v>
      </c>
      <c r="D28" t="s">
        <v>74</v>
      </c>
      <c r="E28" t="s">
        <v>131</v>
      </c>
      <c r="F28" t="s">
        <v>132</v>
      </c>
      <c r="G28">
        <v>8.6</v>
      </c>
      <c r="H28">
        <v>59</v>
      </c>
      <c r="I28" t="s">
        <v>133</v>
      </c>
      <c r="J28" s="3">
        <v>679930</v>
      </c>
      <c r="K28" t="s">
        <v>134</v>
      </c>
      <c r="M28" s="3" t="str">
        <f>IF(I28="Billy Wilder", "Must Watch", IF(I28="John Ford", "Watch", "Maybe"))</f>
        <v>Maybe</v>
      </c>
    </row>
    <row r="29" spans="1:13" x14ac:dyDescent="0.25">
      <c r="A29">
        <v>28</v>
      </c>
      <c r="B29" t="s">
        <v>135</v>
      </c>
      <c r="C29">
        <v>-1995</v>
      </c>
      <c r="D29">
        <v>18</v>
      </c>
      <c r="E29" t="s">
        <v>136</v>
      </c>
      <c r="F29" t="s">
        <v>56</v>
      </c>
      <c r="G29">
        <v>8.6</v>
      </c>
      <c r="H29">
        <v>65</v>
      </c>
      <c r="I29" t="s">
        <v>71</v>
      </c>
      <c r="J29" s="3">
        <v>1598334</v>
      </c>
      <c r="K29" t="s">
        <v>137</v>
      </c>
      <c r="M29" s="3" t="str">
        <f>IF(I29="Billy Wilder", "Must Watch", IF(I29="John Ford", "Watch", "Maybe"))</f>
        <v>Maybe</v>
      </c>
    </row>
    <row r="30" spans="1:13" x14ac:dyDescent="0.25">
      <c r="A30">
        <v>29</v>
      </c>
      <c r="B30" t="s">
        <v>138</v>
      </c>
      <c r="C30">
        <v>-1991</v>
      </c>
      <c r="D30">
        <v>15</v>
      </c>
      <c r="E30" t="s">
        <v>139</v>
      </c>
      <c r="F30" t="s">
        <v>90</v>
      </c>
      <c r="G30">
        <v>8.6</v>
      </c>
      <c r="H30">
        <v>75</v>
      </c>
      <c r="I30" t="s">
        <v>140</v>
      </c>
      <c r="J30" s="3">
        <v>1073997</v>
      </c>
      <c r="K30" t="s">
        <v>141</v>
      </c>
      <c r="M30" s="3" t="str">
        <f>IF(I30="Billy Wilder", "Must Watch", IF(I30="John Ford", "Watch", "Maybe"))</f>
        <v>Maybe</v>
      </c>
    </row>
    <row r="31" spans="1:13" x14ac:dyDescent="0.25">
      <c r="A31">
        <v>30</v>
      </c>
      <c r="B31" t="s">
        <v>142</v>
      </c>
      <c r="C31">
        <v>-1991</v>
      </c>
      <c r="D31">
        <v>18</v>
      </c>
      <c r="E31" t="s">
        <v>143</v>
      </c>
      <c r="F31" t="s">
        <v>144</v>
      </c>
      <c r="G31">
        <v>8.6</v>
      </c>
      <c r="H31">
        <v>85</v>
      </c>
      <c r="I31" t="s">
        <v>145</v>
      </c>
      <c r="J31" s="3">
        <v>1393581</v>
      </c>
      <c r="K31" t="s">
        <v>146</v>
      </c>
      <c r="M31" s="3" t="str">
        <f>IF(I31="Billy Wilder", "Must Watch", IF(I31="John Ford", "Watch", "Maybe"))</f>
        <v>Maybe</v>
      </c>
    </row>
    <row r="32" spans="1:13" x14ac:dyDescent="0.25">
      <c r="A32">
        <v>31</v>
      </c>
      <c r="B32" t="s">
        <v>147</v>
      </c>
      <c r="C32">
        <v>-1977</v>
      </c>
      <c r="D32" t="s">
        <v>49</v>
      </c>
      <c r="E32" t="s">
        <v>148</v>
      </c>
      <c r="F32" t="s">
        <v>100</v>
      </c>
      <c r="G32">
        <v>8.6</v>
      </c>
      <c r="H32">
        <v>90</v>
      </c>
      <c r="I32" t="s">
        <v>149</v>
      </c>
      <c r="J32" s="3">
        <v>1332341</v>
      </c>
      <c r="K32" t="s">
        <v>150</v>
      </c>
      <c r="M32" s="3" t="str">
        <f>IF(I32="Billy Wilder", "Must Watch", IF(I32="John Ford", "Watch", "Maybe"))</f>
        <v>Maybe</v>
      </c>
    </row>
    <row r="33" spans="1:13" x14ac:dyDescent="0.25">
      <c r="A33">
        <v>32</v>
      </c>
      <c r="B33" t="s">
        <v>151</v>
      </c>
      <c r="C33">
        <v>-1962</v>
      </c>
      <c r="D33" t="s">
        <v>24</v>
      </c>
      <c r="E33" t="s">
        <v>104</v>
      </c>
      <c r="F33" t="s">
        <v>152</v>
      </c>
      <c r="G33">
        <v>8.6</v>
      </c>
      <c r="H33">
        <v>85</v>
      </c>
      <c r="I33" t="s">
        <v>153</v>
      </c>
      <c r="J33" s="3">
        <v>54658</v>
      </c>
      <c r="M33" s="3" t="str">
        <f>IF(I33="Billy Wilder", "Must Watch", IF(I33="John Ford", "Watch", "Maybe"))</f>
        <v>Maybe</v>
      </c>
    </row>
    <row r="34" spans="1:13" x14ac:dyDescent="0.25">
      <c r="A34">
        <v>33</v>
      </c>
      <c r="B34" t="s">
        <v>154</v>
      </c>
      <c r="C34">
        <v>-1954</v>
      </c>
      <c r="D34" t="s">
        <v>155</v>
      </c>
      <c r="E34" t="s">
        <v>156</v>
      </c>
      <c r="F34" t="s">
        <v>109</v>
      </c>
      <c r="G34">
        <v>8.6</v>
      </c>
      <c r="H34">
        <v>98</v>
      </c>
      <c r="I34" t="s">
        <v>157</v>
      </c>
      <c r="J34" s="3">
        <v>340610</v>
      </c>
      <c r="K34" t="s">
        <v>158</v>
      </c>
      <c r="M34" s="3" t="str">
        <f>IF(I34="Billy Wilder", "Must Watch", IF(I34="John Ford", "Watch", "Maybe"))</f>
        <v>Maybe</v>
      </c>
    </row>
    <row r="35" spans="1:13" x14ac:dyDescent="0.25">
      <c r="A35">
        <v>34</v>
      </c>
      <c r="B35" t="s">
        <v>159</v>
      </c>
      <c r="C35">
        <v>-1946</v>
      </c>
      <c r="D35" t="s">
        <v>49</v>
      </c>
      <c r="E35" t="s">
        <v>108</v>
      </c>
      <c r="F35" t="s">
        <v>160</v>
      </c>
      <c r="G35">
        <v>8.6</v>
      </c>
      <c r="H35">
        <v>89</v>
      </c>
      <c r="I35" t="s">
        <v>161</v>
      </c>
      <c r="J35" s="3">
        <v>447135</v>
      </c>
      <c r="M35" s="3" t="str">
        <f>IF(I35="Billy Wilder", "Must Watch", IF(I35="John Ford", "Watch", "Maybe"))</f>
        <v>Maybe</v>
      </c>
    </row>
    <row r="36" spans="1:13" x14ac:dyDescent="0.25">
      <c r="A36">
        <v>35</v>
      </c>
      <c r="B36" t="s">
        <v>162</v>
      </c>
      <c r="C36">
        <v>-2019</v>
      </c>
      <c r="D36" t="s">
        <v>30</v>
      </c>
      <c r="E36" t="s">
        <v>163</v>
      </c>
      <c r="F36" t="s">
        <v>109</v>
      </c>
      <c r="G36">
        <v>8.5</v>
      </c>
      <c r="I36" t="s">
        <v>164</v>
      </c>
      <c r="J36" s="3">
        <v>26935</v>
      </c>
      <c r="M36" s="3" t="str">
        <f>IF(I36="Billy Wilder", "Must Watch", IF(I36="John Ford", "Watch", "Maybe"))</f>
        <v>Maybe</v>
      </c>
    </row>
    <row r="37" spans="1:13" x14ac:dyDescent="0.25">
      <c r="A37">
        <v>36</v>
      </c>
      <c r="B37" t="s">
        <v>165</v>
      </c>
      <c r="C37">
        <v>-2019</v>
      </c>
      <c r="D37">
        <v>15</v>
      </c>
      <c r="E37" t="s">
        <v>166</v>
      </c>
      <c r="F37" t="s">
        <v>167</v>
      </c>
      <c r="G37">
        <v>8.5</v>
      </c>
      <c r="H37">
        <v>96</v>
      </c>
      <c r="I37" t="s">
        <v>168</v>
      </c>
      <c r="J37" s="3">
        <v>753815</v>
      </c>
      <c r="K37" t="s">
        <v>169</v>
      </c>
      <c r="M37" s="3" t="str">
        <f>IF(I37="Billy Wilder", "Must Watch", IF(I37="John Ford", "Watch", "Maybe"))</f>
        <v>Maybe</v>
      </c>
    </row>
    <row r="38" spans="1:13" x14ac:dyDescent="0.25">
      <c r="A38">
        <v>37</v>
      </c>
      <c r="B38" t="s">
        <v>170</v>
      </c>
      <c r="C38">
        <v>-2014</v>
      </c>
      <c r="D38">
        <v>15</v>
      </c>
      <c r="E38" t="s">
        <v>171</v>
      </c>
      <c r="F38" t="s">
        <v>172</v>
      </c>
      <c r="G38">
        <v>8.5</v>
      </c>
      <c r="H38">
        <v>88</v>
      </c>
      <c r="I38" t="s">
        <v>173</v>
      </c>
      <c r="J38" s="3">
        <v>817783</v>
      </c>
      <c r="K38" t="s">
        <v>174</v>
      </c>
      <c r="M38" s="3" t="str">
        <f>IF(I38="Billy Wilder", "Must Watch", IF(I38="John Ford", "Watch", "Maybe"))</f>
        <v>Maybe</v>
      </c>
    </row>
    <row r="39" spans="1:13" x14ac:dyDescent="0.25">
      <c r="A39">
        <v>38</v>
      </c>
      <c r="B39" t="s">
        <v>175</v>
      </c>
      <c r="C39">
        <v>-2011</v>
      </c>
      <c r="D39">
        <v>15</v>
      </c>
      <c r="E39" t="s">
        <v>176</v>
      </c>
      <c r="F39" t="s">
        <v>177</v>
      </c>
      <c r="G39">
        <v>8.5</v>
      </c>
      <c r="H39">
        <v>57</v>
      </c>
      <c r="I39" t="s">
        <v>178</v>
      </c>
      <c r="J39" s="3">
        <v>836550</v>
      </c>
      <c r="K39" t="s">
        <v>179</v>
      </c>
      <c r="M39" s="3" t="str">
        <f>IF(I39="Billy Wilder", "Must Watch", IF(I39="John Ford", "Watch", "Maybe"))</f>
        <v>Maybe</v>
      </c>
    </row>
    <row r="40" spans="1:13" x14ac:dyDescent="0.25">
      <c r="A40">
        <v>39</v>
      </c>
      <c r="B40" t="s">
        <v>180</v>
      </c>
      <c r="C40">
        <v>-2022</v>
      </c>
      <c r="D40">
        <v>15</v>
      </c>
      <c r="E40" t="s">
        <v>181</v>
      </c>
      <c r="F40" t="s">
        <v>32</v>
      </c>
      <c r="G40">
        <v>8.5</v>
      </c>
      <c r="I40" t="s">
        <v>182</v>
      </c>
      <c r="J40" s="3">
        <v>109453</v>
      </c>
      <c r="M40" s="3" t="str">
        <f>IF(I40="Billy Wilder", "Must Watch", IF(I40="John Ford", "Watch", "Maybe"))</f>
        <v>Maybe</v>
      </c>
    </row>
    <row r="41" spans="1:13" x14ac:dyDescent="0.25">
      <c r="A41">
        <v>40</v>
      </c>
      <c r="B41" t="s">
        <v>183</v>
      </c>
      <c r="C41">
        <v>-2021</v>
      </c>
      <c r="D41" t="s">
        <v>184</v>
      </c>
      <c r="E41" t="s">
        <v>55</v>
      </c>
      <c r="F41" t="s">
        <v>95</v>
      </c>
      <c r="G41">
        <v>8.5</v>
      </c>
      <c r="I41" t="s">
        <v>185</v>
      </c>
      <c r="J41" s="3">
        <v>39965</v>
      </c>
      <c r="M41" s="3" t="str">
        <f>IF(I41="Billy Wilder", "Must Watch", IF(I41="John Ford", "Watch", "Maybe"))</f>
        <v>Maybe</v>
      </c>
    </row>
    <row r="42" spans="1:13" x14ac:dyDescent="0.25">
      <c r="A42">
        <v>41</v>
      </c>
      <c r="B42" t="s">
        <v>186</v>
      </c>
      <c r="C42">
        <v>-2006</v>
      </c>
      <c r="D42" t="s">
        <v>30</v>
      </c>
      <c r="E42" t="s">
        <v>108</v>
      </c>
      <c r="F42" t="s">
        <v>187</v>
      </c>
      <c r="G42">
        <v>8.5</v>
      </c>
      <c r="H42">
        <v>66</v>
      </c>
      <c r="I42" t="s">
        <v>33</v>
      </c>
      <c r="J42" s="3">
        <v>1300776</v>
      </c>
      <c r="K42" t="s">
        <v>188</v>
      </c>
      <c r="M42" s="3" t="str">
        <f>IF(I42="Billy Wilder", "Must Watch", IF(I42="John Ford", "Watch", "Maybe"))</f>
        <v>Maybe</v>
      </c>
    </row>
    <row r="43" spans="1:13" x14ac:dyDescent="0.25">
      <c r="A43">
        <v>42</v>
      </c>
      <c r="B43" t="s">
        <v>189</v>
      </c>
      <c r="C43">
        <v>-2006</v>
      </c>
      <c r="D43">
        <v>18</v>
      </c>
      <c r="E43" t="s">
        <v>190</v>
      </c>
      <c r="F43" t="s">
        <v>144</v>
      </c>
      <c r="G43">
        <v>8.5</v>
      </c>
      <c r="H43">
        <v>85</v>
      </c>
      <c r="I43" t="s">
        <v>96</v>
      </c>
      <c r="J43" s="3">
        <v>1293859</v>
      </c>
      <c r="K43" t="s">
        <v>191</v>
      </c>
      <c r="M43" s="3" t="str">
        <f>IF(I43="Billy Wilder", "Must Watch", IF(I43="John Ford", "Watch", "Maybe"))</f>
        <v>Maybe</v>
      </c>
    </row>
    <row r="44" spans="1:13" x14ac:dyDescent="0.25">
      <c r="A44">
        <v>43</v>
      </c>
      <c r="B44" t="s">
        <v>192</v>
      </c>
      <c r="C44">
        <v>-2002</v>
      </c>
      <c r="D44">
        <v>15</v>
      </c>
      <c r="E44" t="s">
        <v>193</v>
      </c>
      <c r="F44" t="s">
        <v>194</v>
      </c>
      <c r="G44">
        <v>8.5</v>
      </c>
      <c r="H44">
        <v>85</v>
      </c>
      <c r="I44" t="s">
        <v>195</v>
      </c>
      <c r="J44" s="3">
        <v>810102</v>
      </c>
      <c r="K44" t="s">
        <v>196</v>
      </c>
      <c r="M44" s="3" t="str">
        <f>IF(I44="Billy Wilder", "Must Watch", IF(I44="John Ford", "Watch", "Maybe"))</f>
        <v>Maybe</v>
      </c>
    </row>
    <row r="45" spans="1:13" x14ac:dyDescent="0.25">
      <c r="A45">
        <v>44</v>
      </c>
      <c r="B45" t="s">
        <v>197</v>
      </c>
      <c r="C45">
        <v>-2000</v>
      </c>
      <c r="D45">
        <v>15</v>
      </c>
      <c r="E45" t="s">
        <v>198</v>
      </c>
      <c r="F45" t="s">
        <v>37</v>
      </c>
      <c r="G45">
        <v>8.5</v>
      </c>
      <c r="H45">
        <v>67</v>
      </c>
      <c r="I45" t="s">
        <v>199</v>
      </c>
      <c r="J45" s="3">
        <v>1462476</v>
      </c>
      <c r="K45" t="s">
        <v>200</v>
      </c>
      <c r="M45" s="3" t="str">
        <f>IF(I45="Billy Wilder", "Must Watch", IF(I45="John Ford", "Watch", "Maybe"))</f>
        <v>Maybe</v>
      </c>
    </row>
    <row r="46" spans="1:13" x14ac:dyDescent="0.25">
      <c r="A46">
        <v>45</v>
      </c>
      <c r="B46" t="s">
        <v>201</v>
      </c>
      <c r="C46">
        <v>-1998</v>
      </c>
      <c r="D46">
        <v>18</v>
      </c>
      <c r="E46" t="s">
        <v>202</v>
      </c>
      <c r="F46" t="s">
        <v>26</v>
      </c>
      <c r="G46">
        <v>8.5</v>
      </c>
      <c r="H46">
        <v>62</v>
      </c>
      <c r="I46" t="s">
        <v>203</v>
      </c>
      <c r="J46" s="3">
        <v>1101298</v>
      </c>
      <c r="K46" t="s">
        <v>204</v>
      </c>
      <c r="M46" s="3" t="str">
        <f>IF(I46="Billy Wilder", "Must Watch", IF(I46="John Ford", "Watch", "Maybe"))</f>
        <v>Maybe</v>
      </c>
    </row>
    <row r="47" spans="1:13" x14ac:dyDescent="0.25">
      <c r="A47">
        <v>46</v>
      </c>
      <c r="B47" t="s">
        <v>205</v>
      </c>
      <c r="C47">
        <v>-1995</v>
      </c>
      <c r="D47">
        <v>18</v>
      </c>
      <c r="E47" t="s">
        <v>171</v>
      </c>
      <c r="F47" t="s">
        <v>56</v>
      </c>
      <c r="G47">
        <v>8.5</v>
      </c>
      <c r="H47">
        <v>77</v>
      </c>
      <c r="I47" t="s">
        <v>206</v>
      </c>
      <c r="J47" s="3">
        <v>1065395</v>
      </c>
      <c r="K47" t="s">
        <v>207</v>
      </c>
      <c r="M47" s="3" t="str">
        <f>IF(I47="Billy Wilder", "Must Watch", IF(I47="John Ford", "Watch", "Maybe"))</f>
        <v>Maybe</v>
      </c>
    </row>
    <row r="48" spans="1:13" x14ac:dyDescent="0.25">
      <c r="A48">
        <v>47</v>
      </c>
      <c r="B48" t="s">
        <v>208</v>
      </c>
      <c r="C48">
        <v>-1994</v>
      </c>
      <c r="D48">
        <v>18</v>
      </c>
      <c r="E48" t="s">
        <v>209</v>
      </c>
      <c r="F48" t="s">
        <v>32</v>
      </c>
      <c r="G48">
        <v>8.5</v>
      </c>
      <c r="H48">
        <v>64</v>
      </c>
      <c r="I48" t="s">
        <v>210</v>
      </c>
      <c r="J48" s="3">
        <v>1133091</v>
      </c>
      <c r="K48" t="s">
        <v>211</v>
      </c>
      <c r="M48" s="3" t="str">
        <f>IF(I48="Billy Wilder", "Must Watch", IF(I48="John Ford", "Watch", "Maybe"))</f>
        <v>Maybe</v>
      </c>
    </row>
    <row r="49" spans="1:13" x14ac:dyDescent="0.25">
      <c r="A49">
        <v>48</v>
      </c>
      <c r="B49" t="s">
        <v>212</v>
      </c>
      <c r="C49">
        <v>-1994</v>
      </c>
      <c r="D49" t="s">
        <v>49</v>
      </c>
      <c r="E49" t="s">
        <v>213</v>
      </c>
      <c r="F49" t="s">
        <v>214</v>
      </c>
      <c r="G49">
        <v>8.5</v>
      </c>
      <c r="H49">
        <v>88</v>
      </c>
      <c r="I49" t="s">
        <v>215</v>
      </c>
      <c r="J49" s="3">
        <v>1031212</v>
      </c>
      <c r="K49" t="s">
        <v>216</v>
      </c>
      <c r="M49" s="3" t="str">
        <f>IF(I49="Billy Wilder", "Must Watch", IF(I49="John Ford", "Watch", "Maybe"))</f>
        <v>Maybe</v>
      </c>
    </row>
    <row r="50" spans="1:13" x14ac:dyDescent="0.25">
      <c r="A50">
        <v>49</v>
      </c>
      <c r="B50" t="s">
        <v>217</v>
      </c>
      <c r="C50">
        <v>-1988</v>
      </c>
      <c r="D50" t="s">
        <v>74</v>
      </c>
      <c r="E50" t="s">
        <v>198</v>
      </c>
      <c r="F50" t="s">
        <v>78</v>
      </c>
      <c r="G50">
        <v>8.5</v>
      </c>
      <c r="H50">
        <v>80</v>
      </c>
      <c r="I50" t="s">
        <v>218</v>
      </c>
      <c r="J50" s="3">
        <v>255977</v>
      </c>
      <c r="K50" t="s">
        <v>219</v>
      </c>
      <c r="M50" s="3" t="str">
        <f>IF(I50="Billy Wilder", "Must Watch", IF(I50="John Ford", "Watch", "Maybe"))</f>
        <v>Maybe</v>
      </c>
    </row>
    <row r="51" spans="1:13" x14ac:dyDescent="0.25">
      <c r="A51">
        <v>50</v>
      </c>
      <c r="B51" t="s">
        <v>220</v>
      </c>
      <c r="C51">
        <v>-1988</v>
      </c>
      <c r="D51" t="s">
        <v>30</v>
      </c>
      <c r="E51" t="s">
        <v>221</v>
      </c>
      <c r="F51" t="s">
        <v>222</v>
      </c>
      <c r="G51">
        <v>8.5</v>
      </c>
      <c r="H51">
        <v>94</v>
      </c>
      <c r="I51" t="s">
        <v>223</v>
      </c>
      <c r="J51" s="3">
        <v>269013</v>
      </c>
      <c r="M51" s="3" t="str">
        <f>IF(I51="Billy Wilder", "Must Watch", IF(I51="John Ford", "Watch", "Maybe"))</f>
        <v>Maybe</v>
      </c>
    </row>
    <row r="52" spans="1:13" x14ac:dyDescent="0.25">
      <c r="A52">
        <v>51</v>
      </c>
      <c r="B52" t="s">
        <v>224</v>
      </c>
      <c r="C52">
        <v>-1985</v>
      </c>
      <c r="D52" t="s">
        <v>74</v>
      </c>
      <c r="E52" t="s">
        <v>131</v>
      </c>
      <c r="F52" t="s">
        <v>225</v>
      </c>
      <c r="G52">
        <v>8.5</v>
      </c>
      <c r="H52">
        <v>87</v>
      </c>
      <c r="I52" t="s">
        <v>79</v>
      </c>
      <c r="J52" s="3">
        <v>1168856</v>
      </c>
      <c r="K52" t="s">
        <v>226</v>
      </c>
      <c r="M52" s="3" t="str">
        <f>IF(I52="Billy Wilder", "Must Watch", IF(I52="John Ford", "Watch", "Maybe"))</f>
        <v>Maybe</v>
      </c>
    </row>
    <row r="53" spans="1:13" x14ac:dyDescent="0.25">
      <c r="A53">
        <v>52</v>
      </c>
      <c r="B53" t="s">
        <v>227</v>
      </c>
      <c r="C53">
        <v>-1979</v>
      </c>
      <c r="D53" t="s">
        <v>24</v>
      </c>
      <c r="E53" t="s">
        <v>228</v>
      </c>
      <c r="F53" t="s">
        <v>229</v>
      </c>
      <c r="G53">
        <v>8.5</v>
      </c>
      <c r="H53">
        <v>94</v>
      </c>
      <c r="I53" t="s">
        <v>27</v>
      </c>
      <c r="J53" s="3">
        <v>654463</v>
      </c>
      <c r="K53" t="s">
        <v>230</v>
      </c>
      <c r="M53" s="3" t="str">
        <f>IF(I53="Billy Wilder", "Must Watch", IF(I53="John Ford", "Watch", "Maybe"))</f>
        <v>Maybe</v>
      </c>
    </row>
    <row r="54" spans="1:13" x14ac:dyDescent="0.25">
      <c r="A54">
        <v>53</v>
      </c>
      <c r="B54" t="s">
        <v>231</v>
      </c>
      <c r="C54">
        <v>-1979</v>
      </c>
      <c r="D54" t="s">
        <v>24</v>
      </c>
      <c r="E54" t="s">
        <v>232</v>
      </c>
      <c r="F54" t="s">
        <v>233</v>
      </c>
      <c r="G54">
        <v>8.5</v>
      </c>
      <c r="H54">
        <v>89</v>
      </c>
      <c r="I54" t="s">
        <v>199</v>
      </c>
      <c r="J54" s="3">
        <v>859025</v>
      </c>
      <c r="K54" t="s">
        <v>234</v>
      </c>
      <c r="M54" s="3" t="str">
        <f>IF(I54="Billy Wilder", "Must Watch", IF(I54="John Ford", "Watch", "Maybe"))</f>
        <v>Maybe</v>
      </c>
    </row>
    <row r="55" spans="1:13" x14ac:dyDescent="0.25">
      <c r="A55">
        <v>54</v>
      </c>
      <c r="B55" t="s">
        <v>235</v>
      </c>
      <c r="C55">
        <v>-1968</v>
      </c>
      <c r="D55" t="s">
        <v>236</v>
      </c>
      <c r="E55" t="s">
        <v>237</v>
      </c>
      <c r="F55" t="s">
        <v>238</v>
      </c>
      <c r="G55">
        <v>8.5</v>
      </c>
      <c r="H55">
        <v>80</v>
      </c>
      <c r="I55" t="s">
        <v>83</v>
      </c>
      <c r="J55" s="3">
        <v>324579</v>
      </c>
      <c r="K55" t="s">
        <v>239</v>
      </c>
      <c r="M55" s="3" t="str">
        <f>IF(I55="Billy Wilder", "Must Watch", IF(I55="John Ford", "Watch", "Maybe"))</f>
        <v>Maybe</v>
      </c>
    </row>
    <row r="56" spans="1:13" x14ac:dyDescent="0.25">
      <c r="A56">
        <v>55</v>
      </c>
      <c r="B56" t="s">
        <v>240</v>
      </c>
      <c r="C56">
        <v>-1960</v>
      </c>
      <c r="D56">
        <v>15</v>
      </c>
      <c r="E56" t="s">
        <v>241</v>
      </c>
      <c r="F56" t="s">
        <v>242</v>
      </c>
      <c r="G56">
        <v>8.5</v>
      </c>
      <c r="H56">
        <v>97</v>
      </c>
      <c r="I56" t="s">
        <v>243</v>
      </c>
      <c r="J56" s="3">
        <v>656848</v>
      </c>
      <c r="K56" t="s">
        <v>244</v>
      </c>
      <c r="M56" s="3" t="str">
        <f>IF(I56="Billy Wilder", "Must Watch", IF(I56="John Ford", "Watch", "Maybe"))</f>
        <v>Maybe</v>
      </c>
    </row>
    <row r="57" spans="1:13" x14ac:dyDescent="0.25">
      <c r="A57">
        <v>56</v>
      </c>
      <c r="B57" t="s">
        <v>245</v>
      </c>
      <c r="C57">
        <v>-1954</v>
      </c>
      <c r="D57" t="s">
        <v>155</v>
      </c>
      <c r="E57" t="s">
        <v>176</v>
      </c>
      <c r="F57" t="s">
        <v>246</v>
      </c>
      <c r="G57">
        <v>8.5</v>
      </c>
      <c r="H57">
        <v>100</v>
      </c>
      <c r="I57" t="s">
        <v>243</v>
      </c>
      <c r="J57" s="3">
        <v>482791</v>
      </c>
      <c r="K57" t="s">
        <v>247</v>
      </c>
      <c r="M57" s="3" t="str">
        <f>IF(I57="Billy Wilder", "Must Watch", IF(I57="John Ford", "Watch", "Maybe"))</f>
        <v>Maybe</v>
      </c>
    </row>
    <row r="58" spans="1:13" x14ac:dyDescent="0.25">
      <c r="A58">
        <v>57</v>
      </c>
      <c r="B58" t="s">
        <v>248</v>
      </c>
      <c r="C58">
        <v>-1942</v>
      </c>
      <c r="D58" t="s">
        <v>49</v>
      </c>
      <c r="E58" t="s">
        <v>249</v>
      </c>
      <c r="F58" t="s">
        <v>250</v>
      </c>
      <c r="G58">
        <v>8.5</v>
      </c>
      <c r="H58">
        <v>100</v>
      </c>
      <c r="I58" t="s">
        <v>251</v>
      </c>
      <c r="J58" s="3">
        <v>562032</v>
      </c>
      <c r="K58" t="s">
        <v>252</v>
      </c>
      <c r="M58" s="3" t="str">
        <f>IF(I58="Billy Wilder", "Must Watch", IF(I58="John Ford", "Watch", "Maybe"))</f>
        <v>Maybe</v>
      </c>
    </row>
    <row r="59" spans="1:13" x14ac:dyDescent="0.25">
      <c r="A59">
        <v>58</v>
      </c>
      <c r="B59" t="s">
        <v>253</v>
      </c>
      <c r="C59">
        <v>-1936</v>
      </c>
      <c r="D59" t="s">
        <v>49</v>
      </c>
      <c r="E59" t="s">
        <v>254</v>
      </c>
      <c r="F59" t="s">
        <v>132</v>
      </c>
      <c r="G59">
        <v>8.5</v>
      </c>
      <c r="H59">
        <v>96</v>
      </c>
      <c r="I59" t="s">
        <v>255</v>
      </c>
      <c r="J59" s="3">
        <v>238449</v>
      </c>
      <c r="K59" t="s">
        <v>256</v>
      </c>
      <c r="M59" s="3" t="str">
        <f>IF(I59="Billy Wilder", "Must Watch", IF(I59="John Ford", "Watch", "Maybe"))</f>
        <v>Maybe</v>
      </c>
    </row>
    <row r="60" spans="1:13" x14ac:dyDescent="0.25">
      <c r="A60">
        <v>59</v>
      </c>
      <c r="B60" t="s">
        <v>257</v>
      </c>
      <c r="C60">
        <v>-1931</v>
      </c>
      <c r="D60" t="s">
        <v>49</v>
      </c>
      <c r="E60" t="s">
        <v>254</v>
      </c>
      <c r="F60" t="s">
        <v>132</v>
      </c>
      <c r="G60">
        <v>8.5</v>
      </c>
      <c r="H60">
        <v>99</v>
      </c>
      <c r="I60" t="s">
        <v>255</v>
      </c>
      <c r="J60" s="3">
        <v>182312</v>
      </c>
      <c r="K60" t="s">
        <v>258</v>
      </c>
      <c r="M60" s="3" t="str">
        <f>IF(I60="Billy Wilder", "Must Watch", IF(I60="John Ford", "Watch", "Maybe"))</f>
        <v>Maybe</v>
      </c>
    </row>
    <row r="61" spans="1:13" x14ac:dyDescent="0.25">
      <c r="A61">
        <v>60</v>
      </c>
      <c r="B61" t="s">
        <v>259</v>
      </c>
      <c r="C61">
        <v>-2020</v>
      </c>
      <c r="D61">
        <v>12</v>
      </c>
      <c r="E61" t="s">
        <v>260</v>
      </c>
      <c r="F61" t="s">
        <v>42</v>
      </c>
      <c r="G61">
        <v>8.4</v>
      </c>
      <c r="H61">
        <v>90</v>
      </c>
      <c r="I61" t="s">
        <v>261</v>
      </c>
      <c r="J61" s="3">
        <v>88965</v>
      </c>
      <c r="M61" s="3" t="str">
        <f>IF(I61="Billy Wilder", "Must Watch", IF(I61="John Ford", "Watch", "Maybe"))</f>
        <v>Maybe</v>
      </c>
    </row>
    <row r="62" spans="1:13" x14ac:dyDescent="0.25">
      <c r="A62">
        <v>61</v>
      </c>
      <c r="B62" t="s">
        <v>262</v>
      </c>
      <c r="C62">
        <v>-2018</v>
      </c>
      <c r="D62">
        <v>15</v>
      </c>
      <c r="E62" t="s">
        <v>263</v>
      </c>
      <c r="F62" t="s">
        <v>20</v>
      </c>
      <c r="G62">
        <v>8.4</v>
      </c>
      <c r="H62">
        <v>75</v>
      </c>
      <c r="I62" t="s">
        <v>264</v>
      </c>
      <c r="J62" s="3">
        <v>85804</v>
      </c>
      <c r="K62" t="s">
        <v>265</v>
      </c>
      <c r="M62" s="3" t="str">
        <f>IF(I62="Billy Wilder", "Must Watch", IF(I62="John Ford", "Watch", "Maybe"))</f>
        <v>Maybe</v>
      </c>
    </row>
    <row r="63" spans="1:13" x14ac:dyDescent="0.25">
      <c r="A63">
        <v>62</v>
      </c>
      <c r="B63" t="s">
        <v>266</v>
      </c>
      <c r="C63" t="s">
        <v>267</v>
      </c>
      <c r="D63">
        <v>15</v>
      </c>
      <c r="E63" t="s">
        <v>268</v>
      </c>
      <c r="F63" t="s">
        <v>144</v>
      </c>
      <c r="G63">
        <v>8.4</v>
      </c>
      <c r="H63">
        <v>59</v>
      </c>
      <c r="I63" t="s">
        <v>269</v>
      </c>
      <c r="J63" s="3">
        <v>1207441</v>
      </c>
      <c r="K63" t="s">
        <v>270</v>
      </c>
      <c r="M63" s="3" t="str">
        <f>IF(I63="Billy Wilder", "Must Watch", IF(I63="John Ford", "Watch", "Maybe"))</f>
        <v>Maybe</v>
      </c>
    </row>
    <row r="64" spans="1:13" x14ac:dyDescent="0.25">
      <c r="A64">
        <v>63</v>
      </c>
      <c r="B64">
        <v>96</v>
      </c>
      <c r="C64" t="s">
        <v>271</v>
      </c>
      <c r="D64" t="s">
        <v>74</v>
      </c>
      <c r="E64" t="s">
        <v>272</v>
      </c>
      <c r="F64" t="s">
        <v>78</v>
      </c>
      <c r="G64">
        <v>8.4</v>
      </c>
      <c r="I64" t="s">
        <v>273</v>
      </c>
      <c r="J64" s="3">
        <v>29086</v>
      </c>
      <c r="M64" s="3" t="str">
        <f>IF(I64="Billy Wilder", "Must Watch", IF(I64="John Ford", "Watch", "Maybe"))</f>
        <v>Maybe</v>
      </c>
    </row>
    <row r="65" spans="1:13" x14ac:dyDescent="0.25">
      <c r="A65">
        <v>64</v>
      </c>
      <c r="B65" t="s">
        <v>274</v>
      </c>
      <c r="C65">
        <v>-2016</v>
      </c>
      <c r="D65" t="s">
        <v>30</v>
      </c>
      <c r="E65" t="s">
        <v>171</v>
      </c>
      <c r="F65" t="s">
        <v>275</v>
      </c>
      <c r="G65">
        <v>8.4</v>
      </c>
      <c r="H65">
        <v>79</v>
      </c>
      <c r="I65" t="s">
        <v>276</v>
      </c>
      <c r="J65" s="3">
        <v>254299</v>
      </c>
      <c r="K65" t="s">
        <v>277</v>
      </c>
      <c r="M65" s="3" t="str">
        <f>IF(I65="Billy Wilder", "Must Watch", IF(I65="John Ford", "Watch", "Maybe"))</f>
        <v>Maybe</v>
      </c>
    </row>
    <row r="66" spans="1:13" x14ac:dyDescent="0.25">
      <c r="A66">
        <v>65</v>
      </c>
      <c r="B66" t="s">
        <v>278</v>
      </c>
      <c r="C66">
        <v>-2018</v>
      </c>
      <c r="D66" t="s">
        <v>74</v>
      </c>
      <c r="E66" t="s">
        <v>232</v>
      </c>
      <c r="F66" t="s">
        <v>279</v>
      </c>
      <c r="G66">
        <v>8.4</v>
      </c>
      <c r="H66">
        <v>87</v>
      </c>
      <c r="I66" t="s">
        <v>280</v>
      </c>
      <c r="J66" s="3">
        <v>498204</v>
      </c>
      <c r="K66" t="s">
        <v>281</v>
      </c>
      <c r="M66" s="3" t="str">
        <f>IF(I66="Billy Wilder", "Must Watch", IF(I66="John Ford", "Watch", "Maybe"))</f>
        <v>Maybe</v>
      </c>
    </row>
    <row r="67" spans="1:13" x14ac:dyDescent="0.25">
      <c r="A67">
        <v>66</v>
      </c>
      <c r="B67" t="s">
        <v>282</v>
      </c>
      <c r="C67">
        <v>-2019</v>
      </c>
      <c r="D67" t="s">
        <v>30</v>
      </c>
      <c r="E67" t="s">
        <v>283</v>
      </c>
      <c r="F67" t="s">
        <v>37</v>
      </c>
      <c r="G67">
        <v>8.4</v>
      </c>
      <c r="H67">
        <v>78</v>
      </c>
      <c r="I67" t="s">
        <v>284</v>
      </c>
      <c r="J67" s="3">
        <v>1067806</v>
      </c>
      <c r="K67" t="s">
        <v>285</v>
      </c>
      <c r="M67" s="3" t="str">
        <f>IF(I67="Billy Wilder", "Must Watch", IF(I67="John Ford", "Watch", "Maybe"))</f>
        <v>Maybe</v>
      </c>
    </row>
    <row r="68" spans="1:13" x14ac:dyDescent="0.25">
      <c r="A68">
        <v>67</v>
      </c>
      <c r="B68" t="s">
        <v>286</v>
      </c>
      <c r="C68">
        <v>-2018</v>
      </c>
      <c r="D68" t="s">
        <v>30</v>
      </c>
      <c r="E68" t="s">
        <v>287</v>
      </c>
      <c r="F68" t="s">
        <v>64</v>
      </c>
      <c r="G68">
        <v>8.4</v>
      </c>
      <c r="H68">
        <v>68</v>
      </c>
      <c r="I68" t="s">
        <v>284</v>
      </c>
      <c r="J68" s="3">
        <v>1027286</v>
      </c>
      <c r="K68" t="s">
        <v>288</v>
      </c>
      <c r="M68" s="3" t="str">
        <f>IF(I68="Billy Wilder", "Must Watch", IF(I68="John Ford", "Watch", "Maybe"))</f>
        <v>Maybe</v>
      </c>
    </row>
    <row r="69" spans="1:13" x14ac:dyDescent="0.25">
      <c r="A69">
        <v>68</v>
      </c>
      <c r="B69" t="s">
        <v>289</v>
      </c>
      <c r="C69" t="s">
        <v>290</v>
      </c>
      <c r="D69" t="s">
        <v>74</v>
      </c>
      <c r="E69" t="s">
        <v>291</v>
      </c>
      <c r="F69" t="s">
        <v>292</v>
      </c>
      <c r="G69">
        <v>8.4</v>
      </c>
      <c r="H69">
        <v>81</v>
      </c>
      <c r="I69" t="s">
        <v>293</v>
      </c>
      <c r="J69" s="3">
        <v>483043</v>
      </c>
      <c r="K69" t="s">
        <v>294</v>
      </c>
      <c r="M69" s="3" t="str">
        <f>IF(I69="Billy Wilder", "Must Watch", IF(I69="John Ford", "Watch", "Maybe"))</f>
        <v>Maybe</v>
      </c>
    </row>
    <row r="70" spans="1:13" x14ac:dyDescent="0.25">
      <c r="A70">
        <v>69</v>
      </c>
      <c r="B70" t="s">
        <v>295</v>
      </c>
      <c r="C70">
        <v>-2012</v>
      </c>
      <c r="D70">
        <v>18</v>
      </c>
      <c r="E70" t="s">
        <v>237</v>
      </c>
      <c r="F70" t="s">
        <v>296</v>
      </c>
      <c r="G70">
        <v>8.4</v>
      </c>
      <c r="H70">
        <v>81</v>
      </c>
      <c r="I70" t="s">
        <v>60</v>
      </c>
      <c r="J70" s="3">
        <v>1505535</v>
      </c>
      <c r="K70" t="s">
        <v>297</v>
      </c>
      <c r="M70" s="3" t="str">
        <f>IF(I70="Billy Wilder", "Must Watch", IF(I70="John Ford", "Watch", "Maybe"))</f>
        <v>Maybe</v>
      </c>
    </row>
    <row r="71" spans="1:13" x14ac:dyDescent="0.25">
      <c r="A71">
        <v>70</v>
      </c>
      <c r="B71" t="s">
        <v>298</v>
      </c>
      <c r="C71">
        <v>-2012</v>
      </c>
      <c r="D71" t="s">
        <v>30</v>
      </c>
      <c r="E71" t="s">
        <v>55</v>
      </c>
      <c r="F71" t="s">
        <v>109</v>
      </c>
      <c r="G71">
        <v>8.4</v>
      </c>
      <c r="H71">
        <v>78</v>
      </c>
      <c r="I71" t="s">
        <v>33</v>
      </c>
      <c r="J71" s="3">
        <v>1662365</v>
      </c>
      <c r="K71" t="s">
        <v>299</v>
      </c>
      <c r="M71" s="3" t="str">
        <f>IF(I71="Billy Wilder", "Must Watch", IF(I71="John Ford", "Watch", "Maybe"))</f>
        <v>Maybe</v>
      </c>
    </row>
    <row r="72" spans="1:13" x14ac:dyDescent="0.25">
      <c r="A72">
        <v>71</v>
      </c>
      <c r="B72" t="s">
        <v>300</v>
      </c>
      <c r="C72">
        <v>-2021</v>
      </c>
      <c r="D72">
        <v>12</v>
      </c>
      <c r="E72" t="s">
        <v>31</v>
      </c>
      <c r="F72" t="s">
        <v>144</v>
      </c>
      <c r="G72">
        <v>8.4</v>
      </c>
      <c r="I72" t="s">
        <v>301</v>
      </c>
      <c r="J72" s="3">
        <v>35266</v>
      </c>
      <c r="M72" s="3" t="str">
        <f>IF(I72="Billy Wilder", "Must Watch", IF(I72="John Ford", "Watch", "Maybe"))</f>
        <v>Maybe</v>
      </c>
    </row>
    <row r="73" spans="1:13" x14ac:dyDescent="0.25">
      <c r="A73">
        <v>72</v>
      </c>
      <c r="B73" t="s">
        <v>302</v>
      </c>
      <c r="C73">
        <v>-2009</v>
      </c>
      <c r="D73" t="s">
        <v>30</v>
      </c>
      <c r="E73" t="s">
        <v>303</v>
      </c>
      <c r="F73" t="s">
        <v>304</v>
      </c>
      <c r="G73">
        <v>8.4</v>
      </c>
      <c r="H73">
        <v>67</v>
      </c>
      <c r="I73" t="s">
        <v>305</v>
      </c>
      <c r="J73" s="3">
        <v>388873</v>
      </c>
      <c r="K73" t="s">
        <v>306</v>
      </c>
      <c r="M73" s="3" t="str">
        <f>IF(I73="Billy Wilder", "Must Watch", IF(I73="John Ford", "Watch", "Maybe"))</f>
        <v>Maybe</v>
      </c>
    </row>
    <row r="74" spans="1:13" x14ac:dyDescent="0.25">
      <c r="A74">
        <v>73</v>
      </c>
      <c r="B74" t="s">
        <v>307</v>
      </c>
      <c r="C74">
        <v>-2021</v>
      </c>
      <c r="D74" t="s">
        <v>308</v>
      </c>
      <c r="E74" t="s">
        <v>309</v>
      </c>
      <c r="F74" t="s">
        <v>310</v>
      </c>
      <c r="G74">
        <v>8.4</v>
      </c>
      <c r="I74" t="s">
        <v>311</v>
      </c>
      <c r="J74" s="3">
        <v>117759</v>
      </c>
      <c r="M74" s="3" t="str">
        <f>IF(I74="Billy Wilder", "Must Watch", IF(I74="John Ford", "Watch", "Maybe"))</f>
        <v>Maybe</v>
      </c>
    </row>
    <row r="75" spans="1:13" x14ac:dyDescent="0.25">
      <c r="A75">
        <v>74</v>
      </c>
      <c r="B75" t="s">
        <v>312</v>
      </c>
      <c r="C75">
        <v>-2008</v>
      </c>
      <c r="D75" t="s">
        <v>49</v>
      </c>
      <c r="E75" t="s">
        <v>313</v>
      </c>
      <c r="F75" t="s">
        <v>120</v>
      </c>
      <c r="G75">
        <v>8.4</v>
      </c>
      <c r="H75">
        <v>95</v>
      </c>
      <c r="I75" t="s">
        <v>314</v>
      </c>
      <c r="J75" s="3">
        <v>1090345</v>
      </c>
      <c r="K75" t="s">
        <v>315</v>
      </c>
      <c r="M75" s="3" t="str">
        <f>IF(I75="Billy Wilder", "Must Watch", IF(I75="John Ford", "Watch", "Maybe"))</f>
        <v>Maybe</v>
      </c>
    </row>
    <row r="76" spans="1:13" x14ac:dyDescent="0.25">
      <c r="A76">
        <v>75</v>
      </c>
      <c r="B76" t="s">
        <v>316</v>
      </c>
      <c r="C76">
        <v>-2006</v>
      </c>
      <c r="D76">
        <v>15</v>
      </c>
      <c r="E76" t="s">
        <v>139</v>
      </c>
      <c r="F76" t="s">
        <v>317</v>
      </c>
      <c r="G76">
        <v>8.4</v>
      </c>
      <c r="H76">
        <v>89</v>
      </c>
      <c r="I76" t="s">
        <v>318</v>
      </c>
      <c r="J76" s="3">
        <v>384675</v>
      </c>
      <c r="K76" t="s">
        <v>319</v>
      </c>
      <c r="M76" s="3" t="str">
        <f>IF(I76="Billy Wilder", "Must Watch", IF(I76="John Ford", "Watch", "Maybe"))</f>
        <v>Maybe</v>
      </c>
    </row>
    <row r="77" spans="1:13" x14ac:dyDescent="0.25">
      <c r="A77">
        <v>76</v>
      </c>
      <c r="B77" t="s">
        <v>320</v>
      </c>
      <c r="C77">
        <v>-2003</v>
      </c>
      <c r="D77">
        <v>18</v>
      </c>
      <c r="E77" t="s">
        <v>321</v>
      </c>
      <c r="F77" t="s">
        <v>152</v>
      </c>
      <c r="G77">
        <v>8.4</v>
      </c>
      <c r="H77">
        <v>77</v>
      </c>
      <c r="I77" t="s">
        <v>322</v>
      </c>
      <c r="J77" s="3">
        <v>565266</v>
      </c>
      <c r="K77" t="s">
        <v>323</v>
      </c>
      <c r="M77" s="3" t="str">
        <f>IF(I77="Billy Wilder", "Must Watch", IF(I77="John Ford", "Watch", "Maybe"))</f>
        <v>Maybe</v>
      </c>
    </row>
    <row r="78" spans="1:13" x14ac:dyDescent="0.25">
      <c r="A78">
        <v>77</v>
      </c>
      <c r="B78" t="s">
        <v>324</v>
      </c>
      <c r="C78">
        <v>-2000</v>
      </c>
      <c r="D78">
        <v>15</v>
      </c>
      <c r="E78" t="s">
        <v>325</v>
      </c>
      <c r="F78" t="s">
        <v>246</v>
      </c>
      <c r="G78">
        <v>8.4</v>
      </c>
      <c r="H78">
        <v>80</v>
      </c>
      <c r="I78" t="s">
        <v>33</v>
      </c>
      <c r="J78" s="3">
        <v>1212647</v>
      </c>
      <c r="K78" t="s">
        <v>326</v>
      </c>
      <c r="M78" s="3" t="str">
        <f>IF(I78="Billy Wilder", "Must Watch", IF(I78="John Ford", "Watch", "Maybe"))</f>
        <v>Maybe</v>
      </c>
    </row>
    <row r="79" spans="1:13" x14ac:dyDescent="0.25">
      <c r="A79">
        <v>78</v>
      </c>
      <c r="B79" t="s">
        <v>327</v>
      </c>
      <c r="C79">
        <v>-1999</v>
      </c>
      <c r="D79">
        <v>18</v>
      </c>
      <c r="E79" t="s">
        <v>268</v>
      </c>
      <c r="F79" t="s">
        <v>20</v>
      </c>
      <c r="G79">
        <v>8.4</v>
      </c>
      <c r="H79">
        <v>84</v>
      </c>
      <c r="I79" t="s">
        <v>328</v>
      </c>
      <c r="J79" s="3">
        <v>1135911</v>
      </c>
      <c r="K79" t="s">
        <v>329</v>
      </c>
      <c r="M79" s="3" t="str">
        <f>IF(I79="Billy Wilder", "Must Watch", IF(I79="John Ford", "Watch", "Maybe"))</f>
        <v>Maybe</v>
      </c>
    </row>
    <row r="80" spans="1:13" x14ac:dyDescent="0.25">
      <c r="A80">
        <v>79</v>
      </c>
      <c r="B80" t="s">
        <v>330</v>
      </c>
      <c r="C80">
        <v>-1997</v>
      </c>
      <c r="D80" t="s">
        <v>74</v>
      </c>
      <c r="E80" t="s">
        <v>331</v>
      </c>
      <c r="F80" t="s">
        <v>332</v>
      </c>
      <c r="G80">
        <v>8.4</v>
      </c>
      <c r="H80">
        <v>76</v>
      </c>
      <c r="I80" t="s">
        <v>121</v>
      </c>
      <c r="J80" s="3">
        <v>384644</v>
      </c>
      <c r="K80" t="s">
        <v>333</v>
      </c>
      <c r="M80" s="3" t="str">
        <f>IF(I80="Billy Wilder", "Must Watch", IF(I80="John Ford", "Watch", "Maybe"))</f>
        <v>Maybe</v>
      </c>
    </row>
    <row r="81" spans="1:13" x14ac:dyDescent="0.25">
      <c r="A81">
        <v>80</v>
      </c>
      <c r="B81" t="s">
        <v>334</v>
      </c>
      <c r="C81">
        <v>-1995</v>
      </c>
      <c r="D81">
        <v>15</v>
      </c>
      <c r="E81" t="s">
        <v>75</v>
      </c>
      <c r="F81" t="s">
        <v>42</v>
      </c>
      <c r="G81">
        <v>8.4</v>
      </c>
      <c r="H81">
        <v>68</v>
      </c>
      <c r="I81" t="s">
        <v>335</v>
      </c>
      <c r="J81" s="3">
        <v>1021071</v>
      </c>
      <c r="K81" t="s">
        <v>336</v>
      </c>
      <c r="M81" s="3" t="str">
        <f>IF(I81="Billy Wilder", "Must Watch", IF(I81="John Ford", "Watch", "Maybe"))</f>
        <v>Maybe</v>
      </c>
    </row>
    <row r="82" spans="1:13" x14ac:dyDescent="0.25">
      <c r="A82">
        <v>81</v>
      </c>
      <c r="B82" t="s">
        <v>337</v>
      </c>
      <c r="C82">
        <v>-1986</v>
      </c>
      <c r="D82" t="s">
        <v>49</v>
      </c>
      <c r="E82" t="s">
        <v>139</v>
      </c>
      <c r="F82" t="s">
        <v>64</v>
      </c>
      <c r="G82">
        <v>8.4</v>
      </c>
      <c r="H82">
        <v>84</v>
      </c>
      <c r="I82" t="s">
        <v>140</v>
      </c>
      <c r="J82" s="3">
        <v>703019</v>
      </c>
      <c r="K82" t="s">
        <v>338</v>
      </c>
      <c r="M82" s="3" t="str">
        <f>IF(I82="Billy Wilder", "Must Watch", IF(I82="John Ford", "Watch", "Maybe"))</f>
        <v>Maybe</v>
      </c>
    </row>
    <row r="83" spans="1:13" x14ac:dyDescent="0.25">
      <c r="A83">
        <v>82</v>
      </c>
      <c r="B83" t="s">
        <v>339</v>
      </c>
      <c r="C83">
        <v>-1984</v>
      </c>
      <c r="D83" t="s">
        <v>74</v>
      </c>
      <c r="E83" t="s">
        <v>260</v>
      </c>
      <c r="F83" t="s">
        <v>194</v>
      </c>
      <c r="G83">
        <v>8.4</v>
      </c>
      <c r="H83">
        <v>88</v>
      </c>
      <c r="I83" t="s">
        <v>105</v>
      </c>
      <c r="J83" s="3">
        <v>395117</v>
      </c>
      <c r="K83" t="s">
        <v>340</v>
      </c>
      <c r="M83" s="3" t="str">
        <f>IF(I83="Billy Wilder", "Must Watch", IF(I83="John Ford", "Watch", "Maybe"))</f>
        <v>Maybe</v>
      </c>
    </row>
    <row r="84" spans="1:13" x14ac:dyDescent="0.25">
      <c r="A84">
        <v>83</v>
      </c>
      <c r="B84" t="s">
        <v>341</v>
      </c>
      <c r="C84">
        <v>-1981</v>
      </c>
      <c r="D84" t="s">
        <v>155</v>
      </c>
      <c r="E84" t="s">
        <v>342</v>
      </c>
      <c r="F84" t="s">
        <v>343</v>
      </c>
      <c r="G84">
        <v>8.4</v>
      </c>
      <c r="H84">
        <v>85</v>
      </c>
      <c r="I84" t="s">
        <v>43</v>
      </c>
      <c r="J84" s="3">
        <v>947846</v>
      </c>
      <c r="K84" t="s">
        <v>344</v>
      </c>
      <c r="M84" s="3" t="str">
        <f>IF(I84="Billy Wilder", "Must Watch", IF(I84="John Ford", "Watch", "Maybe"))</f>
        <v>Maybe</v>
      </c>
    </row>
    <row r="85" spans="1:13" x14ac:dyDescent="0.25">
      <c r="A85">
        <v>84</v>
      </c>
      <c r="B85" t="s">
        <v>345</v>
      </c>
      <c r="C85">
        <v>-1981</v>
      </c>
      <c r="D85" t="s">
        <v>236</v>
      </c>
      <c r="E85" t="s">
        <v>287</v>
      </c>
      <c r="F85" t="s">
        <v>124</v>
      </c>
      <c r="G85">
        <v>8.4</v>
      </c>
      <c r="H85">
        <v>86</v>
      </c>
      <c r="I85" t="s">
        <v>346</v>
      </c>
      <c r="J85" s="3">
        <v>247943</v>
      </c>
      <c r="K85" t="s">
        <v>347</v>
      </c>
      <c r="M85" s="3" t="str">
        <f>IF(I85="Billy Wilder", "Must Watch", IF(I85="John Ford", "Watch", "Maybe"))</f>
        <v>Maybe</v>
      </c>
    </row>
    <row r="86" spans="1:13" x14ac:dyDescent="0.25">
      <c r="A86">
        <v>85</v>
      </c>
      <c r="B86" t="s">
        <v>348</v>
      </c>
      <c r="C86">
        <v>-1980</v>
      </c>
      <c r="D86">
        <v>15</v>
      </c>
      <c r="E86" t="s">
        <v>349</v>
      </c>
      <c r="F86" t="s">
        <v>350</v>
      </c>
      <c r="G86">
        <v>8.4</v>
      </c>
      <c r="H86">
        <v>66</v>
      </c>
      <c r="I86" t="s">
        <v>351</v>
      </c>
      <c r="J86" s="3">
        <v>991472</v>
      </c>
      <c r="K86" t="s">
        <v>352</v>
      </c>
      <c r="M86" s="3" t="str">
        <f>IF(I86="Billy Wilder", "Must Watch", IF(I86="John Ford", "Watch", "Maybe"))</f>
        <v>Maybe</v>
      </c>
    </row>
    <row r="87" spans="1:13" x14ac:dyDescent="0.25">
      <c r="A87">
        <v>86</v>
      </c>
      <c r="B87" t="s">
        <v>353</v>
      </c>
      <c r="C87">
        <v>-1963</v>
      </c>
      <c r="D87">
        <v>12</v>
      </c>
      <c r="E87" t="s">
        <v>354</v>
      </c>
      <c r="F87" t="s">
        <v>56</v>
      </c>
      <c r="G87">
        <v>8.4</v>
      </c>
      <c r="H87">
        <v>90</v>
      </c>
      <c r="I87" t="s">
        <v>157</v>
      </c>
      <c r="J87" s="3">
        <v>43400</v>
      </c>
      <c r="M87" s="3" t="str">
        <f>IF(I87="Billy Wilder", "Must Watch", IF(I87="John Ford", "Watch", "Maybe"))</f>
        <v>Maybe</v>
      </c>
    </row>
    <row r="88" spans="1:13" x14ac:dyDescent="0.25">
      <c r="A88">
        <v>87</v>
      </c>
      <c r="B88" t="s">
        <v>355</v>
      </c>
      <c r="C88">
        <v>-1964</v>
      </c>
      <c r="D88" t="s">
        <v>155</v>
      </c>
      <c r="E88" t="s">
        <v>356</v>
      </c>
      <c r="F88" t="s">
        <v>357</v>
      </c>
      <c r="G88">
        <v>8.4</v>
      </c>
      <c r="H88">
        <v>97</v>
      </c>
      <c r="I88" t="s">
        <v>351</v>
      </c>
      <c r="J88" s="3">
        <v>482516</v>
      </c>
      <c r="K88" t="s">
        <v>358</v>
      </c>
      <c r="M88" s="3" t="str">
        <f>IF(I88="Billy Wilder", "Must Watch", IF(I88="John Ford", "Watch", "Maybe"))</f>
        <v>Maybe</v>
      </c>
    </row>
    <row r="89" spans="1:13" x14ac:dyDescent="0.25">
      <c r="A89">
        <v>88</v>
      </c>
      <c r="B89" t="s">
        <v>359</v>
      </c>
      <c r="C89">
        <v>-1957</v>
      </c>
      <c r="D89" t="s">
        <v>49</v>
      </c>
      <c r="E89" t="s">
        <v>131</v>
      </c>
      <c r="F89" t="s">
        <v>56</v>
      </c>
      <c r="G89">
        <v>8.4</v>
      </c>
      <c r="I89" t="s">
        <v>360</v>
      </c>
      <c r="J89" s="3">
        <v>122776</v>
      </c>
      <c r="K89" t="s">
        <v>361</v>
      </c>
      <c r="M89" s="3" t="str">
        <f>IF(I89="Billy Wilder", "Must Watch", IF(I89="John Ford", "Watch", "Maybe"))</f>
        <v>Must Watch</v>
      </c>
    </row>
    <row r="90" spans="1:13" x14ac:dyDescent="0.25">
      <c r="A90">
        <v>89</v>
      </c>
      <c r="B90" t="s">
        <v>362</v>
      </c>
      <c r="C90">
        <v>-1957</v>
      </c>
      <c r="D90" t="s">
        <v>74</v>
      </c>
      <c r="E90" t="s">
        <v>213</v>
      </c>
      <c r="F90" t="s">
        <v>124</v>
      </c>
      <c r="G90">
        <v>8.4</v>
      </c>
      <c r="H90">
        <v>90</v>
      </c>
      <c r="I90" t="s">
        <v>351</v>
      </c>
      <c r="J90" s="3">
        <v>194279</v>
      </c>
      <c r="M90" s="3" t="str">
        <f>IF(I90="Billy Wilder", "Must Watch", IF(I90="John Ford", "Watch", "Maybe"))</f>
        <v>Maybe</v>
      </c>
    </row>
    <row r="91" spans="1:13" x14ac:dyDescent="0.25">
      <c r="A91">
        <v>90</v>
      </c>
      <c r="B91" t="s">
        <v>363</v>
      </c>
      <c r="C91">
        <v>-1950</v>
      </c>
      <c r="D91" t="s">
        <v>74</v>
      </c>
      <c r="E91" t="s">
        <v>209</v>
      </c>
      <c r="F91" t="s">
        <v>364</v>
      </c>
      <c r="G91">
        <v>8.4</v>
      </c>
      <c r="I91" t="s">
        <v>360</v>
      </c>
      <c r="J91" s="3">
        <v>218593</v>
      </c>
      <c r="M91" s="3" t="str">
        <f>IF(I91="Billy Wilder", "Must Watch", IF(I91="John Ford", "Watch", "Maybe"))</f>
        <v>Must Watch</v>
      </c>
    </row>
    <row r="92" spans="1:13" x14ac:dyDescent="0.25">
      <c r="A92">
        <v>91</v>
      </c>
      <c r="B92" t="s">
        <v>365</v>
      </c>
      <c r="C92">
        <v>-1940</v>
      </c>
      <c r="D92" t="s">
        <v>49</v>
      </c>
      <c r="E92" t="s">
        <v>119</v>
      </c>
      <c r="F92" t="s">
        <v>366</v>
      </c>
      <c r="G92">
        <v>8.4</v>
      </c>
      <c r="I92" t="s">
        <v>255</v>
      </c>
      <c r="J92" s="3">
        <v>221031</v>
      </c>
      <c r="K92" t="s">
        <v>367</v>
      </c>
      <c r="M92" s="3" t="str">
        <f>IF(I92="Billy Wilder", "Must Watch", IF(I92="John Ford", "Watch", "Maybe"))</f>
        <v>Maybe</v>
      </c>
    </row>
    <row r="93" spans="1:13" x14ac:dyDescent="0.25">
      <c r="A93">
        <v>92</v>
      </c>
      <c r="B93" t="s">
        <v>368</v>
      </c>
      <c r="C93">
        <v>-2018</v>
      </c>
      <c r="D93" t="s">
        <v>308</v>
      </c>
      <c r="E93" t="s">
        <v>303</v>
      </c>
      <c r="F93" t="s">
        <v>56</v>
      </c>
      <c r="G93">
        <v>8.3000000000000007</v>
      </c>
      <c r="I93" t="s">
        <v>369</v>
      </c>
      <c r="J93" s="3">
        <v>40045</v>
      </c>
      <c r="M93" s="3" t="str">
        <f>IF(I93="Billy Wilder", "Must Watch", IF(I93="John Ford", "Watch", "Maybe"))</f>
        <v>Maybe</v>
      </c>
    </row>
    <row r="94" spans="1:13" x14ac:dyDescent="0.25">
      <c r="A94">
        <v>93</v>
      </c>
      <c r="B94" t="s">
        <v>370</v>
      </c>
      <c r="C94">
        <v>-2022</v>
      </c>
      <c r="D94">
        <v>15</v>
      </c>
      <c r="E94" t="s">
        <v>70</v>
      </c>
      <c r="F94" t="s">
        <v>371</v>
      </c>
      <c r="G94">
        <v>8.3000000000000007</v>
      </c>
      <c r="H94">
        <v>81</v>
      </c>
      <c r="I94" t="s">
        <v>372</v>
      </c>
      <c r="J94" s="3">
        <v>129321</v>
      </c>
      <c r="M94" s="3" t="str">
        <f>IF(I94="Billy Wilder", "Must Watch", IF(I94="John Ford", "Watch", "Maybe"))</f>
        <v>Maybe</v>
      </c>
    </row>
    <row r="95" spans="1:13" x14ac:dyDescent="0.25">
      <c r="A95">
        <v>94</v>
      </c>
      <c r="B95" t="s">
        <v>373</v>
      </c>
      <c r="C95">
        <v>-2017</v>
      </c>
      <c r="D95">
        <v>15</v>
      </c>
      <c r="E95" t="s">
        <v>119</v>
      </c>
      <c r="F95" t="s">
        <v>42</v>
      </c>
      <c r="G95">
        <v>8.3000000000000007</v>
      </c>
      <c r="I95" t="s">
        <v>374</v>
      </c>
      <c r="J95" s="3">
        <v>39166</v>
      </c>
      <c r="M95" s="3" t="str">
        <f>IF(I95="Billy Wilder", "Must Watch", IF(I95="John Ford", "Watch", "Maybe"))</f>
        <v>Maybe</v>
      </c>
    </row>
    <row r="96" spans="1:13" x14ac:dyDescent="0.25">
      <c r="A96">
        <v>95</v>
      </c>
      <c r="B96" t="s">
        <v>375</v>
      </c>
      <c r="C96">
        <v>-2016</v>
      </c>
      <c r="D96" t="s">
        <v>74</v>
      </c>
      <c r="E96" t="s">
        <v>376</v>
      </c>
      <c r="F96" t="s">
        <v>310</v>
      </c>
      <c r="G96">
        <v>8.3000000000000007</v>
      </c>
      <c r="I96" t="s">
        <v>377</v>
      </c>
      <c r="J96" s="3">
        <v>184574</v>
      </c>
      <c r="K96" t="s">
        <v>378</v>
      </c>
      <c r="M96" s="3" t="str">
        <f>IF(I96="Billy Wilder", "Must Watch", IF(I96="John Ford", "Watch", "Maybe"))</f>
        <v>Maybe</v>
      </c>
    </row>
    <row r="97" spans="1:13" x14ac:dyDescent="0.25">
      <c r="A97">
        <v>96</v>
      </c>
      <c r="B97" t="s">
        <v>379</v>
      </c>
      <c r="C97">
        <v>-2013</v>
      </c>
      <c r="D97" t="s">
        <v>30</v>
      </c>
      <c r="E97" t="s">
        <v>260</v>
      </c>
      <c r="F97" t="s">
        <v>144</v>
      </c>
      <c r="G97">
        <v>8.3000000000000007</v>
      </c>
      <c r="I97" t="s">
        <v>301</v>
      </c>
      <c r="J97" s="3">
        <v>40642</v>
      </c>
      <c r="M97" s="3" t="str">
        <f>IF(I97="Billy Wilder", "Must Watch", IF(I97="John Ford", "Watch", "Maybe"))</f>
        <v>Maybe</v>
      </c>
    </row>
    <row r="98" spans="1:13" x14ac:dyDescent="0.25">
      <c r="A98">
        <v>97</v>
      </c>
      <c r="B98" t="s">
        <v>380</v>
      </c>
      <c r="C98">
        <v>-2012</v>
      </c>
      <c r="D98">
        <v>15</v>
      </c>
      <c r="E98" t="s">
        <v>342</v>
      </c>
      <c r="F98" t="s">
        <v>20</v>
      </c>
      <c r="G98">
        <v>8.3000000000000007</v>
      </c>
      <c r="H98">
        <v>77</v>
      </c>
      <c r="I98" t="s">
        <v>381</v>
      </c>
      <c r="J98" s="3">
        <v>321794</v>
      </c>
      <c r="K98" t="s">
        <v>382</v>
      </c>
      <c r="M98" s="3" t="str">
        <f>IF(I98="Billy Wilder", "Must Watch", IF(I98="John Ford", "Watch", "Maybe"))</f>
        <v>Maybe</v>
      </c>
    </row>
    <row r="99" spans="1:13" x14ac:dyDescent="0.25">
      <c r="A99">
        <v>98</v>
      </c>
      <c r="B99" t="s">
        <v>383</v>
      </c>
      <c r="C99">
        <v>-2011</v>
      </c>
      <c r="D99" t="s">
        <v>74</v>
      </c>
      <c r="E99" t="s">
        <v>384</v>
      </c>
      <c r="F99" t="s">
        <v>20</v>
      </c>
      <c r="G99">
        <v>8.3000000000000007</v>
      </c>
      <c r="H99">
        <v>95</v>
      </c>
      <c r="I99" t="s">
        <v>385</v>
      </c>
      <c r="J99" s="3">
        <v>242251</v>
      </c>
      <c r="K99" t="s">
        <v>386</v>
      </c>
      <c r="M99" s="3" t="str">
        <f>IF(I99="Billy Wilder", "Must Watch", IF(I99="John Ford", "Watch", "Maybe"))</f>
        <v>Maybe</v>
      </c>
    </row>
    <row r="100" spans="1:13" x14ac:dyDescent="0.25">
      <c r="A100">
        <v>99</v>
      </c>
      <c r="B100" t="s">
        <v>387</v>
      </c>
      <c r="C100">
        <v>-2010</v>
      </c>
      <c r="D100">
        <v>15</v>
      </c>
      <c r="E100" t="s">
        <v>388</v>
      </c>
      <c r="F100" t="s">
        <v>389</v>
      </c>
      <c r="G100">
        <v>8.3000000000000007</v>
      </c>
      <c r="H100">
        <v>80</v>
      </c>
      <c r="I100" t="s">
        <v>390</v>
      </c>
      <c r="J100" s="3">
        <v>173341</v>
      </c>
      <c r="K100" t="s">
        <v>391</v>
      </c>
      <c r="M100" s="3" t="str">
        <f>IF(I100="Billy Wilder", "Must Watch", IF(I100="John Ford", "Watch", "Maybe"))</f>
        <v>Maybe</v>
      </c>
    </row>
    <row r="101" spans="1:13" x14ac:dyDescent="0.25">
      <c r="A101">
        <v>100</v>
      </c>
      <c r="B101" t="s">
        <v>392</v>
      </c>
      <c r="C101">
        <v>-2021</v>
      </c>
      <c r="D101" t="s">
        <v>30</v>
      </c>
      <c r="E101" t="s">
        <v>63</v>
      </c>
      <c r="F101" t="s">
        <v>100</v>
      </c>
      <c r="G101">
        <v>8.3000000000000007</v>
      </c>
      <c r="H101">
        <v>71</v>
      </c>
      <c r="I101" t="s">
        <v>393</v>
      </c>
      <c r="J101" s="3">
        <v>664638</v>
      </c>
      <c r="K101" t="s">
        <v>394</v>
      </c>
      <c r="M101" s="3" t="str">
        <f>IF(I101="Billy Wilder", "Must Watch", IF(I101="John Ford", "Watch", "Maybe"))</f>
        <v>Maybe</v>
      </c>
    </row>
    <row r="102" spans="1:13" x14ac:dyDescent="0.25">
      <c r="A102">
        <v>101</v>
      </c>
      <c r="B102" t="s">
        <v>395</v>
      </c>
      <c r="C102">
        <v>-2009</v>
      </c>
      <c r="D102" t="s">
        <v>49</v>
      </c>
      <c r="E102" t="s">
        <v>50</v>
      </c>
      <c r="F102" t="s">
        <v>292</v>
      </c>
      <c r="G102">
        <v>8.3000000000000007</v>
      </c>
      <c r="H102">
        <v>88</v>
      </c>
      <c r="I102" t="s">
        <v>396</v>
      </c>
      <c r="J102" s="3">
        <v>1020046</v>
      </c>
      <c r="K102" t="s">
        <v>397</v>
      </c>
      <c r="M102" s="3" t="str">
        <f>IF(I102="Billy Wilder", "Must Watch", IF(I102="John Ford", "Watch", "Maybe"))</f>
        <v>Maybe</v>
      </c>
    </row>
    <row r="103" spans="1:13" x14ac:dyDescent="0.25">
      <c r="A103">
        <v>102</v>
      </c>
      <c r="B103" t="s">
        <v>398</v>
      </c>
      <c r="C103">
        <v>-2007</v>
      </c>
      <c r="D103" t="s">
        <v>74</v>
      </c>
      <c r="E103" t="s">
        <v>237</v>
      </c>
      <c r="F103" t="s">
        <v>399</v>
      </c>
      <c r="G103">
        <v>8.3000000000000007</v>
      </c>
      <c r="I103" t="s">
        <v>400</v>
      </c>
      <c r="J103" s="3">
        <v>189589</v>
      </c>
      <c r="K103" t="s">
        <v>401</v>
      </c>
      <c r="M103" s="3" t="str">
        <f>IF(I103="Billy Wilder", "Must Watch", IF(I103="John Ford", "Watch", "Maybe"))</f>
        <v>Maybe</v>
      </c>
    </row>
    <row r="104" spans="1:13" x14ac:dyDescent="0.25">
      <c r="A104">
        <v>103</v>
      </c>
      <c r="B104" t="s">
        <v>402</v>
      </c>
      <c r="C104">
        <v>-2010</v>
      </c>
      <c r="D104" t="s">
        <v>49</v>
      </c>
      <c r="E104" t="s">
        <v>403</v>
      </c>
      <c r="F104" t="s">
        <v>292</v>
      </c>
      <c r="G104">
        <v>8.3000000000000007</v>
      </c>
      <c r="H104">
        <v>92</v>
      </c>
      <c r="I104" t="s">
        <v>293</v>
      </c>
      <c r="J104" s="3">
        <v>818885</v>
      </c>
      <c r="K104" t="s">
        <v>404</v>
      </c>
      <c r="M104" s="3" t="str">
        <f>IF(I104="Billy Wilder", "Must Watch", IF(I104="John Ford", "Watch", "Maybe"))</f>
        <v>Maybe</v>
      </c>
    </row>
    <row r="105" spans="1:13" x14ac:dyDescent="0.25">
      <c r="A105">
        <v>104</v>
      </c>
      <c r="B105" t="s">
        <v>405</v>
      </c>
      <c r="C105">
        <v>-2009</v>
      </c>
      <c r="D105">
        <v>18</v>
      </c>
      <c r="E105" t="s">
        <v>86</v>
      </c>
      <c r="F105" t="s">
        <v>406</v>
      </c>
      <c r="G105">
        <v>8.3000000000000007</v>
      </c>
      <c r="H105">
        <v>69</v>
      </c>
      <c r="I105" t="s">
        <v>60</v>
      </c>
      <c r="J105" s="3">
        <v>1403916</v>
      </c>
      <c r="K105" t="s">
        <v>407</v>
      </c>
      <c r="M105" s="3" t="str">
        <f>IF(I105="Billy Wilder", "Must Watch", IF(I105="John Ford", "Watch", "Maybe"))</f>
        <v>Maybe</v>
      </c>
    </row>
    <row r="106" spans="1:13" x14ac:dyDescent="0.25">
      <c r="A106">
        <v>105</v>
      </c>
      <c r="B106" t="s">
        <v>408</v>
      </c>
      <c r="C106">
        <v>-2004</v>
      </c>
      <c r="D106">
        <v>15</v>
      </c>
      <c r="E106" t="s">
        <v>409</v>
      </c>
      <c r="F106" t="s">
        <v>410</v>
      </c>
      <c r="G106">
        <v>8.3000000000000007</v>
      </c>
      <c r="H106">
        <v>89</v>
      </c>
      <c r="I106" t="s">
        <v>411</v>
      </c>
      <c r="J106" s="3">
        <v>986001</v>
      </c>
      <c r="K106" t="s">
        <v>412</v>
      </c>
      <c r="M106" s="3" t="str">
        <f>IF(I106="Billy Wilder", "Must Watch", IF(I106="John Ford", "Watch", "Maybe"))</f>
        <v>Maybe</v>
      </c>
    </row>
    <row r="107" spans="1:13" x14ac:dyDescent="0.25">
      <c r="A107">
        <v>106</v>
      </c>
      <c r="B107" t="s">
        <v>413</v>
      </c>
      <c r="C107">
        <v>-2001</v>
      </c>
      <c r="D107">
        <v>15</v>
      </c>
      <c r="E107" t="s">
        <v>268</v>
      </c>
      <c r="F107" t="s">
        <v>414</v>
      </c>
      <c r="G107">
        <v>8.3000000000000007</v>
      </c>
      <c r="H107">
        <v>69</v>
      </c>
      <c r="I107" t="s">
        <v>415</v>
      </c>
      <c r="J107" s="3">
        <v>746066</v>
      </c>
      <c r="K107" t="s">
        <v>416</v>
      </c>
      <c r="M107" s="3" t="str">
        <f>IF(I107="Billy Wilder", "Must Watch", IF(I107="John Ford", "Watch", "Maybe"))</f>
        <v>Maybe</v>
      </c>
    </row>
    <row r="108" spans="1:13" x14ac:dyDescent="0.25">
      <c r="A108">
        <v>107</v>
      </c>
      <c r="B108" t="s">
        <v>417</v>
      </c>
      <c r="C108">
        <v>-2000</v>
      </c>
      <c r="D108">
        <v>18</v>
      </c>
      <c r="E108" t="s">
        <v>418</v>
      </c>
      <c r="F108" t="s">
        <v>419</v>
      </c>
      <c r="G108">
        <v>8.3000000000000007</v>
      </c>
      <c r="H108">
        <v>55</v>
      </c>
      <c r="I108" t="s">
        <v>420</v>
      </c>
      <c r="J108" s="3">
        <v>840186</v>
      </c>
      <c r="K108" t="s">
        <v>421</v>
      </c>
      <c r="M108" s="3" t="str">
        <f>IF(I108="Billy Wilder", "Must Watch", IF(I108="John Ford", "Watch", "Maybe"))</f>
        <v>Maybe</v>
      </c>
    </row>
    <row r="109" spans="1:13" x14ac:dyDescent="0.25">
      <c r="A109">
        <v>108</v>
      </c>
      <c r="B109" t="s">
        <v>422</v>
      </c>
      <c r="C109">
        <v>-2000</v>
      </c>
      <c r="D109">
        <v>18</v>
      </c>
      <c r="E109" t="s">
        <v>249</v>
      </c>
      <c r="F109" t="s">
        <v>20</v>
      </c>
      <c r="G109">
        <v>8.3000000000000007</v>
      </c>
      <c r="H109">
        <v>68</v>
      </c>
      <c r="I109" t="s">
        <v>423</v>
      </c>
      <c r="J109" s="3">
        <v>825245</v>
      </c>
      <c r="K109" t="s">
        <v>424</v>
      </c>
      <c r="M109" s="3" t="str">
        <f>IF(I109="Billy Wilder", "Must Watch", IF(I109="John Ford", "Watch", "Maybe"))</f>
        <v>Maybe</v>
      </c>
    </row>
    <row r="110" spans="1:13" x14ac:dyDescent="0.25">
      <c r="A110">
        <v>109</v>
      </c>
      <c r="B110" t="s">
        <v>425</v>
      </c>
      <c r="C110">
        <v>-1997</v>
      </c>
      <c r="D110">
        <v>15</v>
      </c>
      <c r="E110" t="s">
        <v>263</v>
      </c>
      <c r="F110" t="s">
        <v>78</v>
      </c>
      <c r="G110">
        <v>8.3000000000000007</v>
      </c>
      <c r="H110">
        <v>70</v>
      </c>
      <c r="I110" t="s">
        <v>426</v>
      </c>
      <c r="J110" s="3">
        <v>943292</v>
      </c>
      <c r="K110" t="s">
        <v>427</v>
      </c>
      <c r="M110" s="3" t="str">
        <f>IF(I110="Billy Wilder", "Must Watch", IF(I110="John Ford", "Watch", "Maybe"))</f>
        <v>Maybe</v>
      </c>
    </row>
    <row r="111" spans="1:13" x14ac:dyDescent="0.25">
      <c r="A111">
        <v>110</v>
      </c>
      <c r="B111" t="s">
        <v>428</v>
      </c>
      <c r="C111">
        <v>-1995</v>
      </c>
      <c r="D111" t="s">
        <v>74</v>
      </c>
      <c r="E111" t="s">
        <v>429</v>
      </c>
      <c r="F111" t="s">
        <v>292</v>
      </c>
      <c r="G111">
        <v>8.3000000000000007</v>
      </c>
      <c r="H111">
        <v>95</v>
      </c>
      <c r="I111" t="s">
        <v>430</v>
      </c>
      <c r="J111" s="3">
        <v>970421</v>
      </c>
      <c r="K111" t="s">
        <v>431</v>
      </c>
      <c r="M111" s="3" t="str">
        <f>IF(I111="Billy Wilder", "Must Watch", IF(I111="John Ford", "Watch", "Maybe"))</f>
        <v>Maybe</v>
      </c>
    </row>
    <row r="112" spans="1:13" x14ac:dyDescent="0.25">
      <c r="A112">
        <v>111</v>
      </c>
      <c r="B112" t="s">
        <v>432</v>
      </c>
      <c r="C112">
        <v>-1995</v>
      </c>
      <c r="D112">
        <v>15</v>
      </c>
      <c r="E112" t="s">
        <v>303</v>
      </c>
      <c r="F112" t="s">
        <v>32</v>
      </c>
      <c r="G112">
        <v>8.3000000000000007</v>
      </c>
      <c r="H112">
        <v>76</v>
      </c>
      <c r="I112" t="s">
        <v>433</v>
      </c>
      <c r="J112" s="3">
        <v>638101</v>
      </c>
      <c r="K112" t="s">
        <v>434</v>
      </c>
      <c r="M112" s="3" t="str">
        <f>IF(I112="Billy Wilder", "Must Watch", IF(I112="John Ford", "Watch", "Maybe"))</f>
        <v>Maybe</v>
      </c>
    </row>
    <row r="113" spans="1:13" x14ac:dyDescent="0.25">
      <c r="A113">
        <v>112</v>
      </c>
      <c r="B113" t="s">
        <v>435</v>
      </c>
      <c r="C113">
        <v>-1992</v>
      </c>
      <c r="D113">
        <v>18</v>
      </c>
      <c r="E113" t="s">
        <v>436</v>
      </c>
      <c r="F113" t="s">
        <v>144</v>
      </c>
      <c r="G113">
        <v>8.3000000000000007</v>
      </c>
      <c r="H113">
        <v>79</v>
      </c>
      <c r="I113" t="s">
        <v>60</v>
      </c>
      <c r="J113" s="3">
        <v>995471</v>
      </c>
      <c r="K113" t="s">
        <v>437</v>
      </c>
      <c r="M113" s="3" t="str">
        <f>IF(I113="Billy Wilder", "Must Watch", IF(I113="John Ford", "Watch", "Maybe"))</f>
        <v>Maybe</v>
      </c>
    </row>
    <row r="114" spans="1:13" x14ac:dyDescent="0.25">
      <c r="A114">
        <v>113</v>
      </c>
      <c r="B114" t="s">
        <v>438</v>
      </c>
      <c r="C114">
        <v>-1987</v>
      </c>
      <c r="D114">
        <v>18</v>
      </c>
      <c r="E114" t="s">
        <v>131</v>
      </c>
      <c r="F114" t="s">
        <v>124</v>
      </c>
      <c r="G114">
        <v>8.3000000000000007</v>
      </c>
      <c r="H114">
        <v>76</v>
      </c>
      <c r="I114" t="s">
        <v>351</v>
      </c>
      <c r="J114" s="3">
        <v>728074</v>
      </c>
      <c r="K114" t="s">
        <v>439</v>
      </c>
      <c r="M114" s="3" t="str">
        <f>IF(I114="Billy Wilder", "Must Watch", IF(I114="John Ford", "Watch", "Maybe"))</f>
        <v>Maybe</v>
      </c>
    </row>
    <row r="115" spans="1:13" x14ac:dyDescent="0.25">
      <c r="A115">
        <v>114</v>
      </c>
      <c r="B115" t="s">
        <v>440</v>
      </c>
      <c r="C115">
        <v>-1985</v>
      </c>
      <c r="D115">
        <v>15</v>
      </c>
      <c r="E115" t="s">
        <v>19</v>
      </c>
      <c r="F115" t="s">
        <v>441</v>
      </c>
      <c r="G115">
        <v>8.3000000000000007</v>
      </c>
      <c r="I115" t="s">
        <v>442</v>
      </c>
      <c r="J115" s="3">
        <v>75995</v>
      </c>
      <c r="M115" s="3" t="str">
        <f>IF(I115="Billy Wilder", "Must Watch", IF(I115="John Ford", "Watch", "Maybe"))</f>
        <v>Maybe</v>
      </c>
    </row>
    <row r="116" spans="1:13" x14ac:dyDescent="0.25">
      <c r="A116">
        <v>115</v>
      </c>
      <c r="B116" t="s">
        <v>443</v>
      </c>
      <c r="C116">
        <v>-1984</v>
      </c>
      <c r="D116">
        <v>18</v>
      </c>
      <c r="E116" t="s">
        <v>444</v>
      </c>
      <c r="F116" t="s">
        <v>26</v>
      </c>
      <c r="G116">
        <v>8.3000000000000007</v>
      </c>
      <c r="H116">
        <v>75</v>
      </c>
      <c r="I116" t="s">
        <v>83</v>
      </c>
      <c r="J116" s="3">
        <v>345022</v>
      </c>
      <c r="K116" t="s">
        <v>239</v>
      </c>
      <c r="M116" s="3" t="str">
        <f>IF(I116="Billy Wilder", "Must Watch", IF(I116="John Ford", "Watch", "Maybe"))</f>
        <v>Maybe</v>
      </c>
    </row>
    <row r="117" spans="1:13" x14ac:dyDescent="0.25">
      <c r="A117">
        <v>116</v>
      </c>
      <c r="B117" t="s">
        <v>445</v>
      </c>
      <c r="C117">
        <v>-1983</v>
      </c>
      <c r="D117">
        <v>18</v>
      </c>
      <c r="E117" t="s">
        <v>303</v>
      </c>
      <c r="F117" t="s">
        <v>26</v>
      </c>
      <c r="G117">
        <v>8.3000000000000007</v>
      </c>
      <c r="H117">
        <v>65</v>
      </c>
      <c r="I117" t="s">
        <v>446</v>
      </c>
      <c r="J117" s="3">
        <v>816317</v>
      </c>
      <c r="K117" t="s">
        <v>447</v>
      </c>
      <c r="M117" s="3" t="str">
        <f>IF(I117="Billy Wilder", "Must Watch", IF(I117="John Ford", "Watch", "Maybe"))</f>
        <v>Maybe</v>
      </c>
    </row>
    <row r="118" spans="1:13" x14ac:dyDescent="0.25">
      <c r="A118">
        <v>117</v>
      </c>
      <c r="B118" t="s">
        <v>448</v>
      </c>
      <c r="C118">
        <v>-1983</v>
      </c>
      <c r="D118" t="s">
        <v>49</v>
      </c>
      <c r="E118" t="s">
        <v>388</v>
      </c>
      <c r="F118" t="s">
        <v>100</v>
      </c>
      <c r="G118">
        <v>8.3000000000000007</v>
      </c>
      <c r="H118">
        <v>58</v>
      </c>
      <c r="I118" t="s">
        <v>449</v>
      </c>
      <c r="J118" s="3">
        <v>1029342</v>
      </c>
      <c r="K118" t="s">
        <v>450</v>
      </c>
      <c r="M118" s="3" t="str">
        <f>IF(I118="Billy Wilder", "Must Watch", IF(I118="John Ford", "Watch", "Maybe"))</f>
        <v>Maybe</v>
      </c>
    </row>
    <row r="119" spans="1:13" x14ac:dyDescent="0.25">
      <c r="A119">
        <v>118</v>
      </c>
      <c r="B119" t="s">
        <v>451</v>
      </c>
      <c r="C119">
        <v>-1973</v>
      </c>
      <c r="D119" t="s">
        <v>155</v>
      </c>
      <c r="E119" t="s">
        <v>452</v>
      </c>
      <c r="F119" t="s">
        <v>453</v>
      </c>
      <c r="G119">
        <v>8.3000000000000007</v>
      </c>
      <c r="H119">
        <v>83</v>
      </c>
      <c r="I119" t="s">
        <v>454</v>
      </c>
      <c r="J119" s="3">
        <v>258511</v>
      </c>
      <c r="K119" t="s">
        <v>455</v>
      </c>
      <c r="M119" s="3" t="str">
        <f>IF(I119="Billy Wilder", "Must Watch", IF(I119="John Ford", "Watch", "Maybe"))</f>
        <v>Maybe</v>
      </c>
    </row>
    <row r="120" spans="1:13" x14ac:dyDescent="0.25">
      <c r="A120">
        <v>119</v>
      </c>
      <c r="B120" t="s">
        <v>456</v>
      </c>
      <c r="C120">
        <v>-1971</v>
      </c>
      <c r="D120" t="s">
        <v>24</v>
      </c>
      <c r="E120" t="s">
        <v>89</v>
      </c>
      <c r="F120" t="s">
        <v>457</v>
      </c>
      <c r="G120">
        <v>8.3000000000000007</v>
      </c>
      <c r="H120">
        <v>77</v>
      </c>
      <c r="I120" t="s">
        <v>351</v>
      </c>
      <c r="J120" s="3">
        <v>813821</v>
      </c>
      <c r="K120" t="s">
        <v>458</v>
      </c>
      <c r="M120" s="3" t="str">
        <f>IF(I120="Billy Wilder", "Must Watch", IF(I120="John Ford", "Watch", "Maybe"))</f>
        <v>Maybe</v>
      </c>
    </row>
    <row r="121" spans="1:13" x14ac:dyDescent="0.25">
      <c r="A121">
        <v>120</v>
      </c>
      <c r="B121" t="s">
        <v>459</v>
      </c>
      <c r="C121">
        <v>-1968</v>
      </c>
      <c r="D121" t="s">
        <v>49</v>
      </c>
      <c r="E121" t="s">
        <v>287</v>
      </c>
      <c r="F121" t="s">
        <v>460</v>
      </c>
      <c r="G121">
        <v>8.3000000000000007</v>
      </c>
      <c r="H121">
        <v>84</v>
      </c>
      <c r="I121" t="s">
        <v>351</v>
      </c>
      <c r="J121" s="3">
        <v>655030</v>
      </c>
      <c r="K121" t="s">
        <v>461</v>
      </c>
      <c r="M121" s="3" t="str">
        <f>IF(I121="Billy Wilder", "Must Watch", IF(I121="John Ford", "Watch", "Maybe"))</f>
        <v>Maybe</v>
      </c>
    </row>
    <row r="122" spans="1:13" x14ac:dyDescent="0.25">
      <c r="A122">
        <v>121</v>
      </c>
      <c r="B122" t="s">
        <v>462</v>
      </c>
      <c r="C122">
        <v>-1962</v>
      </c>
      <c r="D122" t="s">
        <v>155</v>
      </c>
      <c r="E122" t="s">
        <v>452</v>
      </c>
      <c r="F122" t="s">
        <v>26</v>
      </c>
      <c r="G122">
        <v>8.3000000000000007</v>
      </c>
      <c r="H122">
        <v>88</v>
      </c>
      <c r="I122" t="s">
        <v>463</v>
      </c>
      <c r="J122" s="3">
        <v>312861</v>
      </c>
      <c r="M122" s="3" t="str">
        <f>IF(I122="Billy Wilder", "Must Watch", IF(I122="John Ford", "Watch", "Maybe"))</f>
        <v>Maybe</v>
      </c>
    </row>
    <row r="123" spans="1:13" x14ac:dyDescent="0.25">
      <c r="A123">
        <v>122</v>
      </c>
      <c r="B123" t="s">
        <v>464</v>
      </c>
      <c r="C123">
        <v>-1962</v>
      </c>
      <c r="D123" t="s">
        <v>74</v>
      </c>
      <c r="E123" t="s">
        <v>465</v>
      </c>
      <c r="F123" t="s">
        <v>466</v>
      </c>
      <c r="G123">
        <v>8.3000000000000007</v>
      </c>
      <c r="H123">
        <v>100</v>
      </c>
      <c r="I123" t="s">
        <v>467</v>
      </c>
      <c r="J123" s="3">
        <v>289377</v>
      </c>
      <c r="K123" t="s">
        <v>468</v>
      </c>
      <c r="M123" s="3" t="str">
        <f>IF(I123="Billy Wilder", "Must Watch", IF(I123="John Ford", "Watch", "Maybe"))</f>
        <v>Maybe</v>
      </c>
    </row>
    <row r="124" spans="1:13" x14ac:dyDescent="0.25">
      <c r="A124">
        <v>123</v>
      </c>
      <c r="B124" t="s">
        <v>469</v>
      </c>
      <c r="C124">
        <v>-1961</v>
      </c>
      <c r="D124" t="s">
        <v>155</v>
      </c>
      <c r="E124" t="s">
        <v>67</v>
      </c>
      <c r="F124" t="s">
        <v>124</v>
      </c>
      <c r="G124">
        <v>8.3000000000000007</v>
      </c>
      <c r="H124">
        <v>60</v>
      </c>
      <c r="I124" t="s">
        <v>470</v>
      </c>
      <c r="J124" s="3">
        <v>76686</v>
      </c>
      <c r="M124" s="3" t="str">
        <f>IF(I124="Billy Wilder", "Must Watch", IF(I124="John Ford", "Watch", "Maybe"))</f>
        <v>Maybe</v>
      </c>
    </row>
    <row r="125" spans="1:13" x14ac:dyDescent="0.25">
      <c r="A125">
        <v>124</v>
      </c>
      <c r="B125" t="s">
        <v>471</v>
      </c>
      <c r="C125">
        <v>-1960</v>
      </c>
      <c r="D125" t="s">
        <v>155</v>
      </c>
      <c r="E125" t="s">
        <v>119</v>
      </c>
      <c r="F125" t="s">
        <v>132</v>
      </c>
      <c r="G125">
        <v>8.3000000000000007</v>
      </c>
      <c r="H125">
        <v>94</v>
      </c>
      <c r="I125" t="s">
        <v>360</v>
      </c>
      <c r="J125" s="3">
        <v>179014</v>
      </c>
      <c r="K125" t="s">
        <v>472</v>
      </c>
      <c r="M125" s="3" t="str">
        <f>IF(I125="Billy Wilder", "Must Watch", IF(I125="John Ford", "Watch", "Maybe"))</f>
        <v>Must Watch</v>
      </c>
    </row>
    <row r="126" spans="1:13" x14ac:dyDescent="0.25">
      <c r="A126">
        <v>125</v>
      </c>
      <c r="B126" t="s">
        <v>473</v>
      </c>
      <c r="C126">
        <v>-1959</v>
      </c>
      <c r="D126" t="s">
        <v>155</v>
      </c>
      <c r="E126" t="s">
        <v>89</v>
      </c>
      <c r="F126" t="s">
        <v>474</v>
      </c>
      <c r="G126">
        <v>8.3000000000000007</v>
      </c>
      <c r="H126">
        <v>98</v>
      </c>
      <c r="I126" t="s">
        <v>243</v>
      </c>
      <c r="J126" s="3">
        <v>322986</v>
      </c>
      <c r="K126" t="s">
        <v>475</v>
      </c>
      <c r="M126" s="3" t="str">
        <f>IF(I126="Billy Wilder", "Must Watch", IF(I126="John Ford", "Watch", "Maybe"))</f>
        <v>Maybe</v>
      </c>
    </row>
    <row r="127" spans="1:13" x14ac:dyDescent="0.25">
      <c r="A127">
        <v>126</v>
      </c>
      <c r="B127" t="s">
        <v>476</v>
      </c>
      <c r="C127">
        <v>-1958</v>
      </c>
      <c r="D127" t="s">
        <v>155</v>
      </c>
      <c r="E127" t="s">
        <v>477</v>
      </c>
      <c r="F127" t="s">
        <v>478</v>
      </c>
      <c r="G127">
        <v>8.3000000000000007</v>
      </c>
      <c r="H127">
        <v>100</v>
      </c>
      <c r="I127" t="s">
        <v>243</v>
      </c>
      <c r="J127" s="3">
        <v>396060</v>
      </c>
      <c r="K127" t="s">
        <v>479</v>
      </c>
      <c r="M127" s="3" t="str">
        <f>IF(I127="Billy Wilder", "Must Watch", IF(I127="John Ford", "Watch", "Maybe"))</f>
        <v>Maybe</v>
      </c>
    </row>
    <row r="128" spans="1:13" x14ac:dyDescent="0.25">
      <c r="A128">
        <v>127</v>
      </c>
      <c r="B128" t="s">
        <v>480</v>
      </c>
      <c r="C128">
        <v>-1955</v>
      </c>
      <c r="D128" t="s">
        <v>49</v>
      </c>
      <c r="E128" t="s">
        <v>119</v>
      </c>
      <c r="F128" t="s">
        <v>20</v>
      </c>
      <c r="G128">
        <v>8.3000000000000007</v>
      </c>
      <c r="I128" t="s">
        <v>481</v>
      </c>
      <c r="J128" s="3">
        <v>32005</v>
      </c>
      <c r="K128" t="s">
        <v>482</v>
      </c>
      <c r="M128" s="3" t="str">
        <f>IF(I128="Billy Wilder", "Must Watch", IF(I128="John Ford", "Watch", "Maybe"))</f>
        <v>Maybe</v>
      </c>
    </row>
    <row r="129" spans="1:13" x14ac:dyDescent="0.25">
      <c r="A129">
        <v>128</v>
      </c>
      <c r="B129" t="s">
        <v>483</v>
      </c>
      <c r="C129">
        <v>-1952</v>
      </c>
      <c r="D129" t="s">
        <v>49</v>
      </c>
      <c r="E129" t="s">
        <v>403</v>
      </c>
      <c r="F129" t="s">
        <v>484</v>
      </c>
      <c r="G129">
        <v>8.3000000000000007</v>
      </c>
      <c r="H129">
        <v>99</v>
      </c>
      <c r="I129" t="s">
        <v>485</v>
      </c>
      <c r="J129" s="3">
        <v>238466</v>
      </c>
      <c r="K129" t="s">
        <v>486</v>
      </c>
      <c r="M129" s="3" t="str">
        <f>IF(I129="Billy Wilder", "Must Watch", IF(I129="John Ford", "Watch", "Maybe"))</f>
        <v>Maybe</v>
      </c>
    </row>
    <row r="130" spans="1:13" x14ac:dyDescent="0.25">
      <c r="A130">
        <v>129</v>
      </c>
      <c r="B130" t="s">
        <v>487</v>
      </c>
      <c r="C130">
        <v>-1952</v>
      </c>
      <c r="D130" t="s">
        <v>155</v>
      </c>
      <c r="E130" t="s">
        <v>354</v>
      </c>
      <c r="F130" t="s">
        <v>20</v>
      </c>
      <c r="G130">
        <v>8.3000000000000007</v>
      </c>
      <c r="H130">
        <v>91</v>
      </c>
      <c r="I130" t="s">
        <v>157</v>
      </c>
      <c r="J130" s="3">
        <v>77125</v>
      </c>
      <c r="K130" t="s">
        <v>488</v>
      </c>
      <c r="M130" s="3" t="str">
        <f>IF(I130="Billy Wilder", "Must Watch", IF(I130="John Ford", "Watch", "Maybe"))</f>
        <v>Maybe</v>
      </c>
    </row>
    <row r="131" spans="1:13" x14ac:dyDescent="0.25">
      <c r="A131">
        <v>130</v>
      </c>
      <c r="B131" t="s">
        <v>489</v>
      </c>
      <c r="C131">
        <v>-1948</v>
      </c>
      <c r="D131" t="s">
        <v>49</v>
      </c>
      <c r="E131" t="s">
        <v>221</v>
      </c>
      <c r="F131" t="s">
        <v>20</v>
      </c>
      <c r="G131">
        <v>8.3000000000000007</v>
      </c>
      <c r="I131" t="s">
        <v>490</v>
      </c>
      <c r="J131" s="3">
        <v>161423</v>
      </c>
      <c r="K131" t="s">
        <v>491</v>
      </c>
      <c r="M131" s="3" t="str">
        <f>IF(I131="Billy Wilder", "Must Watch", IF(I131="John Ford", "Watch", "Maybe"))</f>
        <v>Maybe</v>
      </c>
    </row>
    <row r="132" spans="1:13" x14ac:dyDescent="0.25">
      <c r="A132">
        <v>131</v>
      </c>
      <c r="B132" t="s">
        <v>492</v>
      </c>
      <c r="C132">
        <v>-1944</v>
      </c>
      <c r="D132" t="s">
        <v>155</v>
      </c>
      <c r="E132" t="s">
        <v>493</v>
      </c>
      <c r="F132" t="s">
        <v>494</v>
      </c>
      <c r="G132">
        <v>8.3000000000000007</v>
      </c>
      <c r="H132">
        <v>95</v>
      </c>
      <c r="I132" t="s">
        <v>360</v>
      </c>
      <c r="J132" s="3">
        <v>155046</v>
      </c>
      <c r="K132" t="s">
        <v>495</v>
      </c>
      <c r="M132" s="3" t="str">
        <f>IF(I132="Billy Wilder", "Must Watch", IF(I132="John Ford", "Watch", "Maybe"))</f>
        <v>Must Watch</v>
      </c>
    </row>
    <row r="133" spans="1:13" x14ac:dyDescent="0.25">
      <c r="A133">
        <v>132</v>
      </c>
      <c r="B133" t="s">
        <v>496</v>
      </c>
      <c r="C133">
        <v>-1941</v>
      </c>
      <c r="D133" t="s">
        <v>155</v>
      </c>
      <c r="E133" t="s">
        <v>202</v>
      </c>
      <c r="F133" t="s">
        <v>389</v>
      </c>
      <c r="G133">
        <v>8.3000000000000007</v>
      </c>
      <c r="H133">
        <v>100</v>
      </c>
      <c r="I133" t="s">
        <v>497</v>
      </c>
      <c r="J133" s="3">
        <v>436067</v>
      </c>
      <c r="K133" t="s">
        <v>498</v>
      </c>
      <c r="M133" s="3" t="str">
        <f>IF(I133="Billy Wilder", "Must Watch", IF(I133="John Ford", "Watch", "Maybe"))</f>
        <v>Maybe</v>
      </c>
    </row>
    <row r="134" spans="1:13" x14ac:dyDescent="0.25">
      <c r="A134">
        <v>133</v>
      </c>
      <c r="B134" t="s">
        <v>499</v>
      </c>
      <c r="C134">
        <v>-1931</v>
      </c>
      <c r="D134" t="s">
        <v>155</v>
      </c>
      <c r="E134" t="s">
        <v>232</v>
      </c>
      <c r="F134" t="s">
        <v>500</v>
      </c>
      <c r="G134">
        <v>8.3000000000000007</v>
      </c>
      <c r="I134" t="s">
        <v>501</v>
      </c>
      <c r="J134" s="3">
        <v>155867</v>
      </c>
      <c r="K134" t="s">
        <v>502</v>
      </c>
      <c r="M134" s="3" t="str">
        <f>IF(I134="Billy Wilder", "Must Watch", IF(I134="John Ford", "Watch", "Maybe"))</f>
        <v>Maybe</v>
      </c>
    </row>
    <row r="135" spans="1:13" x14ac:dyDescent="0.25">
      <c r="A135">
        <v>134</v>
      </c>
      <c r="B135" t="s">
        <v>503</v>
      </c>
      <c r="C135">
        <v>-1927</v>
      </c>
      <c r="D135" t="s">
        <v>155</v>
      </c>
      <c r="E135" t="s">
        <v>86</v>
      </c>
      <c r="F135" t="s">
        <v>504</v>
      </c>
      <c r="G135">
        <v>8.3000000000000007</v>
      </c>
      <c r="H135">
        <v>98</v>
      </c>
      <c r="I135" t="s">
        <v>501</v>
      </c>
      <c r="J135" s="3">
        <v>172159</v>
      </c>
      <c r="K135" t="s">
        <v>505</v>
      </c>
      <c r="M135" s="3" t="str">
        <f>IF(I135="Billy Wilder", "Must Watch", IF(I135="John Ford", "Watch", "Maybe"))</f>
        <v>Maybe</v>
      </c>
    </row>
    <row r="136" spans="1:13" x14ac:dyDescent="0.25">
      <c r="A136">
        <v>135</v>
      </c>
      <c r="B136" t="s">
        <v>506</v>
      </c>
      <c r="C136">
        <v>-1921</v>
      </c>
      <c r="D136" t="s">
        <v>49</v>
      </c>
      <c r="E136" t="s">
        <v>507</v>
      </c>
      <c r="F136" t="s">
        <v>508</v>
      </c>
      <c r="G136">
        <v>8.3000000000000007</v>
      </c>
      <c r="I136" t="s">
        <v>255</v>
      </c>
      <c r="J136" s="3">
        <v>124986</v>
      </c>
      <c r="K136" t="s">
        <v>509</v>
      </c>
      <c r="M136" s="3" t="str">
        <f>IF(I136="Billy Wilder", "Must Watch", IF(I136="John Ford", "Watch", "Maybe"))</f>
        <v>Maybe</v>
      </c>
    </row>
    <row r="137" spans="1:13" x14ac:dyDescent="0.25">
      <c r="A137">
        <v>136</v>
      </c>
      <c r="B137" t="s">
        <v>510</v>
      </c>
      <c r="C137">
        <v>-2019</v>
      </c>
      <c r="D137" t="s">
        <v>30</v>
      </c>
      <c r="E137" t="s">
        <v>354</v>
      </c>
      <c r="F137" t="s">
        <v>132</v>
      </c>
      <c r="G137">
        <v>8.1999999999999993</v>
      </c>
      <c r="I137" t="s">
        <v>377</v>
      </c>
      <c r="J137" s="3">
        <v>50803</v>
      </c>
      <c r="K137" t="s">
        <v>511</v>
      </c>
      <c r="M137" s="3" t="str">
        <f>IF(I137="Billy Wilder", "Must Watch", IF(I137="John Ford", "Watch", "Maybe"))</f>
        <v>Maybe</v>
      </c>
    </row>
    <row r="138" spans="1:13" x14ac:dyDescent="0.25">
      <c r="A138">
        <v>137</v>
      </c>
      <c r="B138">
        <v>1917</v>
      </c>
      <c r="C138">
        <v>-2019</v>
      </c>
      <c r="D138">
        <v>15</v>
      </c>
      <c r="E138" t="s">
        <v>202</v>
      </c>
      <c r="F138" t="s">
        <v>512</v>
      </c>
      <c r="G138">
        <v>8.1999999999999993</v>
      </c>
      <c r="H138">
        <v>78</v>
      </c>
      <c r="I138" t="s">
        <v>328</v>
      </c>
      <c r="J138" s="3">
        <v>557637</v>
      </c>
      <c r="K138" t="s">
        <v>513</v>
      </c>
      <c r="M138" s="3" t="str">
        <f>IF(I138="Billy Wilder", "Must Watch", IF(I138="John Ford", "Watch", "Maybe"))</f>
        <v>Maybe</v>
      </c>
    </row>
    <row r="139" spans="1:13" x14ac:dyDescent="0.25">
      <c r="A139">
        <v>138</v>
      </c>
      <c r="B139" t="s">
        <v>514</v>
      </c>
      <c r="C139">
        <v>-2019</v>
      </c>
      <c r="D139">
        <v>15</v>
      </c>
      <c r="E139" t="s">
        <v>515</v>
      </c>
      <c r="F139" t="s">
        <v>516</v>
      </c>
      <c r="G139">
        <v>8.1999999999999993</v>
      </c>
      <c r="I139" t="s">
        <v>517</v>
      </c>
      <c r="J139" s="3">
        <v>59582</v>
      </c>
      <c r="K139" t="s">
        <v>518</v>
      </c>
      <c r="M139" s="3" t="str">
        <f>IF(I139="Billy Wilder", "Must Watch", IF(I139="John Ford", "Watch", "Maybe"))</f>
        <v>Maybe</v>
      </c>
    </row>
    <row r="140" spans="1:13" x14ac:dyDescent="0.25">
      <c r="A140">
        <v>139</v>
      </c>
      <c r="B140" t="s">
        <v>519</v>
      </c>
      <c r="C140">
        <v>-2018</v>
      </c>
      <c r="D140">
        <v>18</v>
      </c>
      <c r="E140" t="s">
        <v>418</v>
      </c>
      <c r="F140" t="s">
        <v>520</v>
      </c>
      <c r="G140">
        <v>8.1999999999999993</v>
      </c>
      <c r="I140" t="s">
        <v>521</v>
      </c>
      <c r="J140" s="3">
        <v>42528</v>
      </c>
      <c r="M140" s="3" t="str">
        <f>IF(I140="Billy Wilder", "Must Watch", IF(I140="John Ford", "Watch", "Maybe"))</f>
        <v>Maybe</v>
      </c>
    </row>
    <row r="141" spans="1:13" x14ac:dyDescent="0.25">
      <c r="A141">
        <v>140</v>
      </c>
      <c r="B141" t="s">
        <v>522</v>
      </c>
      <c r="C141">
        <v>-2018</v>
      </c>
      <c r="D141" t="s">
        <v>30</v>
      </c>
      <c r="E141" t="s">
        <v>70</v>
      </c>
      <c r="F141" t="s">
        <v>523</v>
      </c>
      <c r="G141">
        <v>8.1999999999999993</v>
      </c>
      <c r="I141" t="s">
        <v>524</v>
      </c>
      <c r="J141" s="3">
        <v>89987</v>
      </c>
      <c r="K141" t="s">
        <v>525</v>
      </c>
      <c r="M141" s="3" t="str">
        <f>IF(I141="Billy Wilder", "Must Watch", IF(I141="John Ford", "Watch", "Maybe"))</f>
        <v>Maybe</v>
      </c>
    </row>
    <row r="142" spans="1:13" x14ac:dyDescent="0.25">
      <c r="A142">
        <v>141</v>
      </c>
      <c r="B142" t="s">
        <v>526</v>
      </c>
      <c r="C142">
        <v>-2018</v>
      </c>
      <c r="D142">
        <v>15</v>
      </c>
      <c r="E142" t="s">
        <v>527</v>
      </c>
      <c r="F142" t="s">
        <v>32</v>
      </c>
      <c r="G142">
        <v>8.1999999999999993</v>
      </c>
      <c r="I142" t="s">
        <v>182</v>
      </c>
      <c r="J142" s="3">
        <v>77762</v>
      </c>
      <c r="M142" s="3" t="str">
        <f>IF(I142="Billy Wilder", "Must Watch", IF(I142="John Ford", "Watch", "Maybe"))</f>
        <v>Maybe</v>
      </c>
    </row>
    <row r="143" spans="1:13" x14ac:dyDescent="0.25">
      <c r="A143">
        <v>142</v>
      </c>
      <c r="B143" t="s">
        <v>528</v>
      </c>
      <c r="C143">
        <v>-2018</v>
      </c>
      <c r="D143" t="s">
        <v>30</v>
      </c>
      <c r="E143" t="s">
        <v>108</v>
      </c>
      <c r="F143" t="s">
        <v>177</v>
      </c>
      <c r="G143">
        <v>8.1999999999999993</v>
      </c>
      <c r="H143">
        <v>69</v>
      </c>
      <c r="I143" t="s">
        <v>529</v>
      </c>
      <c r="J143" s="3">
        <v>469140</v>
      </c>
      <c r="K143" t="s">
        <v>530</v>
      </c>
      <c r="M143" s="3" t="str">
        <f>IF(I143="Billy Wilder", "Must Watch", IF(I143="John Ford", "Watch", "Maybe"))</f>
        <v>Maybe</v>
      </c>
    </row>
    <row r="144" spans="1:13" x14ac:dyDescent="0.25">
      <c r="A144">
        <v>143</v>
      </c>
      <c r="B144" t="s">
        <v>531</v>
      </c>
      <c r="C144">
        <v>-2017</v>
      </c>
      <c r="D144" t="s">
        <v>30</v>
      </c>
      <c r="E144" t="s">
        <v>228</v>
      </c>
      <c r="F144" t="s">
        <v>32</v>
      </c>
      <c r="G144">
        <v>8.1999999999999993</v>
      </c>
      <c r="I144" t="s">
        <v>532</v>
      </c>
      <c r="J144" s="3">
        <v>37774</v>
      </c>
      <c r="M144" s="3" t="str">
        <f>IF(I144="Billy Wilder", "Must Watch", IF(I144="John Ford", "Watch", "Maybe"))</f>
        <v>Maybe</v>
      </c>
    </row>
    <row r="145" spans="1:13" x14ac:dyDescent="0.25">
      <c r="A145">
        <v>144</v>
      </c>
      <c r="B145" t="s">
        <v>533</v>
      </c>
      <c r="C145">
        <v>-2017</v>
      </c>
      <c r="D145">
        <v>15</v>
      </c>
      <c r="E145" t="s">
        <v>534</v>
      </c>
      <c r="F145" t="s">
        <v>109</v>
      </c>
      <c r="G145">
        <v>8.1999999999999993</v>
      </c>
      <c r="I145" t="s">
        <v>535</v>
      </c>
      <c r="J145" s="3">
        <v>94292</v>
      </c>
      <c r="K145" t="s">
        <v>536</v>
      </c>
      <c r="M145" s="3" t="str">
        <f>IF(I145="Billy Wilder", "Must Watch", IF(I145="John Ford", "Watch", "Maybe"))</f>
        <v>Maybe</v>
      </c>
    </row>
    <row r="146" spans="1:13" x14ac:dyDescent="0.25">
      <c r="A146">
        <v>145</v>
      </c>
      <c r="B146" t="s">
        <v>379</v>
      </c>
      <c r="C146">
        <v>-2015</v>
      </c>
      <c r="D146" t="s">
        <v>30</v>
      </c>
      <c r="E146" t="s">
        <v>537</v>
      </c>
      <c r="F146" t="s">
        <v>56</v>
      </c>
      <c r="G146">
        <v>8.1999999999999993</v>
      </c>
      <c r="I146" t="s">
        <v>538</v>
      </c>
      <c r="J146" s="3">
        <v>80173</v>
      </c>
      <c r="K146" t="s">
        <v>539</v>
      </c>
      <c r="M146" s="3" t="str">
        <f>IF(I146="Billy Wilder", "Must Watch", IF(I146="John Ford", "Watch", "Maybe"))</f>
        <v>Maybe</v>
      </c>
    </row>
    <row r="147" spans="1:13" x14ac:dyDescent="0.25">
      <c r="A147">
        <v>146</v>
      </c>
      <c r="B147" t="s">
        <v>540</v>
      </c>
      <c r="C147">
        <v>-2013</v>
      </c>
      <c r="D147" t="s">
        <v>30</v>
      </c>
      <c r="E147" t="s">
        <v>541</v>
      </c>
      <c r="F147" t="s">
        <v>542</v>
      </c>
      <c r="G147">
        <v>8.1999999999999993</v>
      </c>
      <c r="I147" t="s">
        <v>543</v>
      </c>
      <c r="J147" s="3">
        <v>67091</v>
      </c>
      <c r="K147" t="s">
        <v>544</v>
      </c>
      <c r="M147" s="3" t="str">
        <f>IF(I147="Billy Wilder", "Must Watch", IF(I147="John Ford", "Watch", "Maybe"))</f>
        <v>Maybe</v>
      </c>
    </row>
    <row r="148" spans="1:13" x14ac:dyDescent="0.25">
      <c r="A148">
        <v>147</v>
      </c>
      <c r="B148" t="s">
        <v>545</v>
      </c>
      <c r="C148" t="s">
        <v>546</v>
      </c>
      <c r="D148" t="s">
        <v>49</v>
      </c>
      <c r="E148" t="s">
        <v>356</v>
      </c>
      <c r="F148" t="s">
        <v>292</v>
      </c>
      <c r="G148">
        <v>8.1999999999999993</v>
      </c>
      <c r="H148">
        <v>94</v>
      </c>
      <c r="I148" t="s">
        <v>396</v>
      </c>
      <c r="J148" s="3">
        <v>693152</v>
      </c>
      <c r="K148" t="s">
        <v>547</v>
      </c>
      <c r="M148" s="3" t="str">
        <f>IF(I148="Billy Wilder", "Must Watch", IF(I148="John Ford", "Watch", "Maybe"))</f>
        <v>Maybe</v>
      </c>
    </row>
    <row r="149" spans="1:13" x14ac:dyDescent="0.25">
      <c r="A149">
        <v>148</v>
      </c>
      <c r="B149" t="s">
        <v>548</v>
      </c>
      <c r="C149">
        <v>-2012</v>
      </c>
      <c r="D149">
        <v>18</v>
      </c>
      <c r="E149" t="s">
        <v>549</v>
      </c>
      <c r="F149" t="s">
        <v>550</v>
      </c>
      <c r="G149">
        <v>8.1999999999999993</v>
      </c>
      <c r="H149">
        <v>89</v>
      </c>
      <c r="I149" t="s">
        <v>551</v>
      </c>
      <c r="J149" s="3">
        <v>94201</v>
      </c>
      <c r="M149" s="3" t="str">
        <f>IF(I149="Billy Wilder", "Must Watch", IF(I149="John Ford", "Watch", "Maybe"))</f>
        <v>Maybe</v>
      </c>
    </row>
    <row r="150" spans="1:13" x14ac:dyDescent="0.25">
      <c r="A150">
        <v>149</v>
      </c>
      <c r="B150" t="s">
        <v>552</v>
      </c>
      <c r="C150">
        <v>-2012</v>
      </c>
      <c r="D150" t="s">
        <v>30</v>
      </c>
      <c r="E150" t="s">
        <v>309</v>
      </c>
      <c r="F150" t="s">
        <v>553</v>
      </c>
      <c r="G150">
        <v>8.1999999999999993</v>
      </c>
      <c r="I150" t="s">
        <v>554</v>
      </c>
      <c r="J150" s="3">
        <v>36069</v>
      </c>
      <c r="K150" t="s">
        <v>555</v>
      </c>
      <c r="M150" s="3" t="str">
        <f>IF(I150="Billy Wilder", "Must Watch", IF(I150="John Ford", "Watch", "Maybe"))</f>
        <v>Maybe</v>
      </c>
    </row>
    <row r="151" spans="1:13" x14ac:dyDescent="0.25">
      <c r="A151">
        <v>150</v>
      </c>
      <c r="B151" t="s">
        <v>556</v>
      </c>
      <c r="C151">
        <v>-2009</v>
      </c>
      <c r="D151">
        <v>18</v>
      </c>
      <c r="E151" t="s">
        <v>452</v>
      </c>
      <c r="F151" t="s">
        <v>557</v>
      </c>
      <c r="G151">
        <v>8.1999999999999993</v>
      </c>
      <c r="H151">
        <v>80</v>
      </c>
      <c r="I151" t="s">
        <v>558</v>
      </c>
      <c r="J151" s="3">
        <v>207253</v>
      </c>
      <c r="K151" t="s">
        <v>559</v>
      </c>
      <c r="M151" s="3" t="str">
        <f>IF(I151="Billy Wilder", "Must Watch", IF(I151="John Ford", "Watch", "Maybe"))</f>
        <v>Maybe</v>
      </c>
    </row>
    <row r="152" spans="1:13" x14ac:dyDescent="0.25">
      <c r="A152">
        <v>151</v>
      </c>
      <c r="B152" t="s">
        <v>560</v>
      </c>
      <c r="C152">
        <v>-2011</v>
      </c>
      <c r="D152" t="s">
        <v>30</v>
      </c>
      <c r="E152" t="s">
        <v>561</v>
      </c>
      <c r="F152" t="s">
        <v>562</v>
      </c>
      <c r="G152">
        <v>8.1999999999999993</v>
      </c>
      <c r="H152">
        <v>71</v>
      </c>
      <c r="I152" t="s">
        <v>563</v>
      </c>
      <c r="J152" s="3">
        <v>465488</v>
      </c>
      <c r="K152" t="s">
        <v>564</v>
      </c>
      <c r="M152" s="3" t="str">
        <f>IF(I152="Billy Wilder", "Must Watch", IF(I152="John Ford", "Watch", "Maybe"))</f>
        <v>Maybe</v>
      </c>
    </row>
    <row r="153" spans="1:13" x14ac:dyDescent="0.25">
      <c r="A153">
        <v>152</v>
      </c>
      <c r="B153" t="s">
        <v>565</v>
      </c>
      <c r="C153">
        <v>-2010</v>
      </c>
      <c r="D153">
        <v>15</v>
      </c>
      <c r="E153" t="s">
        <v>515</v>
      </c>
      <c r="F153" t="s">
        <v>246</v>
      </c>
      <c r="G153">
        <v>8.1999999999999993</v>
      </c>
      <c r="H153">
        <v>63</v>
      </c>
      <c r="I153" t="s">
        <v>96</v>
      </c>
      <c r="J153" s="3">
        <v>1267346</v>
      </c>
      <c r="K153" t="s">
        <v>566</v>
      </c>
      <c r="M153" s="3" t="str">
        <f>IF(I153="Billy Wilder", "Must Watch", IF(I153="John Ford", "Watch", "Maybe"))</f>
        <v>Maybe</v>
      </c>
    </row>
    <row r="154" spans="1:13" x14ac:dyDescent="0.25">
      <c r="A154">
        <v>153</v>
      </c>
      <c r="B154" t="s">
        <v>567</v>
      </c>
      <c r="C154">
        <v>-2020</v>
      </c>
      <c r="D154">
        <v>15</v>
      </c>
      <c r="E154" t="s">
        <v>232</v>
      </c>
      <c r="F154" t="s">
        <v>279</v>
      </c>
      <c r="G154">
        <v>8.1999999999999993</v>
      </c>
      <c r="H154">
        <v>72</v>
      </c>
      <c r="I154" t="s">
        <v>568</v>
      </c>
      <c r="J154" s="3">
        <v>53614</v>
      </c>
      <c r="K154" t="s">
        <v>569</v>
      </c>
      <c r="M154" s="3" t="str">
        <f>IF(I154="Billy Wilder", "Must Watch", IF(I154="John Ford", "Watch", "Maybe"))</f>
        <v>Maybe</v>
      </c>
    </row>
    <row r="155" spans="1:13" x14ac:dyDescent="0.25">
      <c r="A155">
        <v>154</v>
      </c>
      <c r="B155" t="s">
        <v>570</v>
      </c>
      <c r="C155">
        <v>-2019</v>
      </c>
      <c r="D155">
        <v>15</v>
      </c>
      <c r="E155" t="s">
        <v>166</v>
      </c>
      <c r="F155" t="s">
        <v>20</v>
      </c>
      <c r="G155">
        <v>8.1999999999999993</v>
      </c>
      <c r="I155" t="s">
        <v>571</v>
      </c>
      <c r="J155" s="3">
        <v>47418</v>
      </c>
      <c r="M155" s="3" t="str">
        <f>IF(I155="Billy Wilder", "Must Watch", IF(I155="John Ford", "Watch", "Maybe"))</f>
        <v>Maybe</v>
      </c>
    </row>
    <row r="156" spans="1:13" x14ac:dyDescent="0.25">
      <c r="A156">
        <v>155</v>
      </c>
      <c r="B156" t="s">
        <v>572</v>
      </c>
      <c r="C156">
        <v>-2019</v>
      </c>
      <c r="D156">
        <v>15</v>
      </c>
      <c r="E156" t="s">
        <v>108</v>
      </c>
      <c r="F156" t="s">
        <v>56</v>
      </c>
      <c r="G156">
        <v>8.1999999999999993</v>
      </c>
      <c r="I156" t="s">
        <v>573</v>
      </c>
      <c r="J156" s="3">
        <v>32926</v>
      </c>
      <c r="M156" s="3" t="str">
        <f>IF(I156="Billy Wilder", "Must Watch", IF(I156="John Ford", "Watch", "Maybe"))</f>
        <v>Maybe</v>
      </c>
    </row>
    <row r="157" spans="1:13" x14ac:dyDescent="0.25">
      <c r="A157">
        <v>156</v>
      </c>
      <c r="B157" t="s">
        <v>574</v>
      </c>
      <c r="C157" t="s">
        <v>575</v>
      </c>
      <c r="D157" t="s">
        <v>30</v>
      </c>
      <c r="E157" t="s">
        <v>576</v>
      </c>
      <c r="F157" t="s">
        <v>389</v>
      </c>
      <c r="G157">
        <v>8.1999999999999993</v>
      </c>
      <c r="H157">
        <v>88</v>
      </c>
      <c r="I157" t="s">
        <v>577</v>
      </c>
      <c r="J157" s="3">
        <v>139050</v>
      </c>
      <c r="M157" s="3" t="str">
        <f>IF(I157="Billy Wilder", "Must Watch", IF(I157="John Ford", "Watch", "Maybe"))</f>
        <v>Maybe</v>
      </c>
    </row>
    <row r="158" spans="1:13" x14ac:dyDescent="0.25">
      <c r="A158">
        <v>157</v>
      </c>
      <c r="B158" t="s">
        <v>578</v>
      </c>
      <c r="C158">
        <v>-2013</v>
      </c>
      <c r="D158">
        <v>18</v>
      </c>
      <c r="E158" t="s">
        <v>579</v>
      </c>
      <c r="F158" t="s">
        <v>580</v>
      </c>
      <c r="G158">
        <v>8.1999999999999993</v>
      </c>
      <c r="H158">
        <v>75</v>
      </c>
      <c r="I158" t="s">
        <v>96</v>
      </c>
      <c r="J158" s="3">
        <v>1352494</v>
      </c>
      <c r="K158" t="s">
        <v>581</v>
      </c>
      <c r="M158" s="3" t="str">
        <f>IF(I158="Billy Wilder", "Must Watch", IF(I158="John Ford", "Watch", "Maybe"))</f>
        <v>Maybe</v>
      </c>
    </row>
    <row r="159" spans="1:13" x14ac:dyDescent="0.25">
      <c r="A159">
        <v>158</v>
      </c>
      <c r="B159" t="s">
        <v>582</v>
      </c>
      <c r="C159">
        <v>-2007</v>
      </c>
      <c r="D159">
        <v>15</v>
      </c>
      <c r="E159" t="s">
        <v>268</v>
      </c>
      <c r="F159" t="s">
        <v>144</v>
      </c>
      <c r="G159">
        <v>8.1999999999999993</v>
      </c>
      <c r="H159">
        <v>92</v>
      </c>
      <c r="I159" t="s">
        <v>583</v>
      </c>
      <c r="J159" s="3">
        <v>947369</v>
      </c>
      <c r="K159" t="s">
        <v>584</v>
      </c>
      <c r="M159" s="3" t="str">
        <f>IF(I159="Billy Wilder", "Must Watch", IF(I159="John Ford", "Watch", "Maybe"))</f>
        <v>Maybe</v>
      </c>
    </row>
    <row r="160" spans="1:13" x14ac:dyDescent="0.25">
      <c r="A160">
        <v>159</v>
      </c>
      <c r="B160" t="s">
        <v>585</v>
      </c>
      <c r="C160">
        <v>-2005</v>
      </c>
      <c r="D160" t="s">
        <v>74</v>
      </c>
      <c r="E160" t="s">
        <v>176</v>
      </c>
      <c r="F160" t="s">
        <v>399</v>
      </c>
      <c r="G160">
        <v>8.1999999999999993</v>
      </c>
      <c r="I160" t="s">
        <v>586</v>
      </c>
      <c r="J160" s="3">
        <v>85867</v>
      </c>
      <c r="M160" s="3" t="str">
        <f>IF(I160="Billy Wilder", "Must Watch", IF(I160="John Ford", "Watch", "Maybe"))</f>
        <v>Maybe</v>
      </c>
    </row>
    <row r="161" spans="1:13" x14ac:dyDescent="0.25">
      <c r="A161">
        <v>160</v>
      </c>
      <c r="B161" t="s">
        <v>587</v>
      </c>
      <c r="C161">
        <v>-2007</v>
      </c>
      <c r="D161" t="s">
        <v>30</v>
      </c>
      <c r="E161" t="s">
        <v>272</v>
      </c>
      <c r="F161" t="s">
        <v>20</v>
      </c>
      <c r="G161">
        <v>8.1999999999999993</v>
      </c>
      <c r="H161">
        <v>93</v>
      </c>
      <c r="I161" t="s">
        <v>588</v>
      </c>
      <c r="J161" s="3">
        <v>573628</v>
      </c>
      <c r="K161" t="s">
        <v>589</v>
      </c>
      <c r="M161" s="3" t="str">
        <f>IF(I161="Billy Wilder", "Must Watch", IF(I161="John Ford", "Watch", "Maybe"))</f>
        <v>Maybe</v>
      </c>
    </row>
    <row r="162" spans="1:13" x14ac:dyDescent="0.25">
      <c r="A162">
        <v>161</v>
      </c>
      <c r="B162" t="s">
        <v>590</v>
      </c>
      <c r="C162">
        <v>-2006</v>
      </c>
      <c r="D162">
        <v>15</v>
      </c>
      <c r="E162" t="s">
        <v>143</v>
      </c>
      <c r="F162" t="s">
        <v>591</v>
      </c>
      <c r="G162">
        <v>8.1999999999999993</v>
      </c>
      <c r="H162">
        <v>98</v>
      </c>
      <c r="I162" t="s">
        <v>592</v>
      </c>
      <c r="J162" s="3">
        <v>658930</v>
      </c>
      <c r="K162" t="s">
        <v>593</v>
      </c>
      <c r="M162" s="3" t="str">
        <f>IF(I162="Billy Wilder", "Must Watch", IF(I162="John Ford", "Watch", "Maybe"))</f>
        <v>Maybe</v>
      </c>
    </row>
    <row r="163" spans="1:13" x14ac:dyDescent="0.25">
      <c r="A163">
        <v>162</v>
      </c>
      <c r="B163" t="s">
        <v>594</v>
      </c>
      <c r="C163">
        <v>-2005</v>
      </c>
      <c r="D163">
        <v>15</v>
      </c>
      <c r="E163" t="s">
        <v>166</v>
      </c>
      <c r="F163" t="s">
        <v>595</v>
      </c>
      <c r="G163">
        <v>8.1999999999999993</v>
      </c>
      <c r="H163">
        <v>62</v>
      </c>
      <c r="I163" t="s">
        <v>596</v>
      </c>
      <c r="J163" s="3">
        <v>1103202</v>
      </c>
      <c r="K163" t="s">
        <v>597</v>
      </c>
      <c r="M163" s="3" t="str">
        <f>IF(I163="Billy Wilder", "Must Watch", IF(I163="John Ford", "Watch", "Maybe"))</f>
        <v>Maybe</v>
      </c>
    </row>
    <row r="164" spans="1:13" x14ac:dyDescent="0.25">
      <c r="A164">
        <v>163</v>
      </c>
      <c r="B164" t="s">
        <v>598</v>
      </c>
      <c r="C164">
        <v>-2005</v>
      </c>
      <c r="D164" t="s">
        <v>30</v>
      </c>
      <c r="E164" t="s">
        <v>561</v>
      </c>
      <c r="F164" t="s">
        <v>32</v>
      </c>
      <c r="G164">
        <v>8.1999999999999993</v>
      </c>
      <c r="H164">
        <v>70</v>
      </c>
      <c r="I164" t="s">
        <v>33</v>
      </c>
      <c r="J164" s="3">
        <v>1435095</v>
      </c>
      <c r="K164" t="s">
        <v>599</v>
      </c>
      <c r="M164" s="3" t="str">
        <f>IF(I164="Billy Wilder", "Must Watch", IF(I164="John Ford", "Watch", "Maybe"))</f>
        <v>Maybe</v>
      </c>
    </row>
    <row r="165" spans="1:13" x14ac:dyDescent="0.25">
      <c r="A165">
        <v>164</v>
      </c>
      <c r="B165" t="s">
        <v>600</v>
      </c>
      <c r="C165">
        <v>-2004</v>
      </c>
      <c r="D165">
        <v>15</v>
      </c>
      <c r="E165" t="s">
        <v>527</v>
      </c>
      <c r="F165" t="s">
        <v>42</v>
      </c>
      <c r="G165">
        <v>8.1999999999999993</v>
      </c>
      <c r="H165">
        <v>82</v>
      </c>
      <c r="I165" t="s">
        <v>601</v>
      </c>
      <c r="J165" s="3">
        <v>351495</v>
      </c>
      <c r="K165" t="s">
        <v>602</v>
      </c>
      <c r="M165" s="3" t="str">
        <f>IF(I165="Billy Wilder", "Must Watch", IF(I165="John Ford", "Watch", "Maybe"))</f>
        <v>Maybe</v>
      </c>
    </row>
    <row r="166" spans="1:13" x14ac:dyDescent="0.25">
      <c r="A166">
        <v>165</v>
      </c>
      <c r="B166" t="s">
        <v>603</v>
      </c>
      <c r="C166">
        <v>-2004</v>
      </c>
      <c r="D166" t="s">
        <v>49</v>
      </c>
      <c r="E166" t="s">
        <v>202</v>
      </c>
      <c r="F166" t="s">
        <v>120</v>
      </c>
      <c r="G166">
        <v>8.1999999999999993</v>
      </c>
      <c r="H166">
        <v>80</v>
      </c>
      <c r="I166" t="s">
        <v>121</v>
      </c>
      <c r="J166" s="3">
        <v>382743</v>
      </c>
      <c r="K166" t="s">
        <v>604</v>
      </c>
      <c r="M166" s="3" t="str">
        <f>IF(I166="Billy Wilder", "Must Watch", IF(I166="John Ford", "Watch", "Maybe"))</f>
        <v>Maybe</v>
      </c>
    </row>
    <row r="167" spans="1:13" x14ac:dyDescent="0.25">
      <c r="A167">
        <v>166</v>
      </c>
      <c r="B167" t="s">
        <v>605</v>
      </c>
      <c r="C167">
        <v>-2001</v>
      </c>
      <c r="D167">
        <v>12</v>
      </c>
      <c r="E167" t="s">
        <v>309</v>
      </c>
      <c r="F167" t="s">
        <v>606</v>
      </c>
      <c r="G167">
        <v>8.1999999999999993</v>
      </c>
      <c r="H167">
        <v>72</v>
      </c>
      <c r="I167" t="s">
        <v>607</v>
      </c>
      <c r="J167" s="3">
        <v>915278</v>
      </c>
      <c r="K167" t="s">
        <v>608</v>
      </c>
      <c r="M167" s="3" t="str">
        <f>IF(I167="Billy Wilder", "Must Watch", IF(I167="John Ford", "Watch", "Maybe"))</f>
        <v>Maybe</v>
      </c>
    </row>
    <row r="168" spans="1:13" x14ac:dyDescent="0.25">
      <c r="A168">
        <v>167</v>
      </c>
      <c r="B168" t="s">
        <v>609</v>
      </c>
      <c r="C168">
        <v>-2003</v>
      </c>
      <c r="D168">
        <v>18</v>
      </c>
      <c r="E168" t="s">
        <v>610</v>
      </c>
      <c r="F168" t="s">
        <v>32</v>
      </c>
      <c r="G168">
        <v>8.1999999999999993</v>
      </c>
      <c r="H168">
        <v>69</v>
      </c>
      <c r="I168" t="s">
        <v>60</v>
      </c>
      <c r="J168" s="3">
        <v>1089976</v>
      </c>
      <c r="K168" t="s">
        <v>611</v>
      </c>
      <c r="M168" s="3" t="str">
        <f>IF(I168="Billy Wilder", "Must Watch", IF(I168="John Ford", "Watch", "Maybe"))</f>
        <v>Maybe</v>
      </c>
    </row>
    <row r="169" spans="1:13" x14ac:dyDescent="0.25">
      <c r="A169">
        <v>168</v>
      </c>
      <c r="B169" t="s">
        <v>612</v>
      </c>
      <c r="C169">
        <v>-2003</v>
      </c>
      <c r="D169" t="s">
        <v>49</v>
      </c>
      <c r="E169" t="s">
        <v>613</v>
      </c>
      <c r="F169" t="s">
        <v>292</v>
      </c>
      <c r="G169">
        <v>8.1999999999999993</v>
      </c>
      <c r="H169">
        <v>90</v>
      </c>
      <c r="I169" t="s">
        <v>314</v>
      </c>
      <c r="J169" s="3">
        <v>1022805</v>
      </c>
      <c r="K169" t="s">
        <v>614</v>
      </c>
      <c r="M169" s="3" t="str">
        <f>IF(I169="Billy Wilder", "Must Watch", IF(I169="John Ford", "Watch", "Maybe"))</f>
        <v>Maybe</v>
      </c>
    </row>
    <row r="170" spans="1:13" x14ac:dyDescent="0.25">
      <c r="A170">
        <v>169</v>
      </c>
      <c r="B170" t="s">
        <v>615</v>
      </c>
      <c r="C170">
        <v>-1999</v>
      </c>
      <c r="D170">
        <v>15</v>
      </c>
      <c r="E170" t="s">
        <v>493</v>
      </c>
      <c r="F170" t="s">
        <v>317</v>
      </c>
      <c r="G170">
        <v>8.1999999999999993</v>
      </c>
      <c r="H170">
        <v>64</v>
      </c>
      <c r="I170" t="s">
        <v>616</v>
      </c>
      <c r="J170" s="3">
        <v>973632</v>
      </c>
      <c r="K170" t="s">
        <v>617</v>
      </c>
      <c r="M170" s="3" t="str">
        <f>IF(I170="Billy Wilder", "Must Watch", IF(I170="John Ford", "Watch", "Maybe"))</f>
        <v>Maybe</v>
      </c>
    </row>
    <row r="171" spans="1:13" x14ac:dyDescent="0.25">
      <c r="A171">
        <v>170</v>
      </c>
      <c r="B171" t="s">
        <v>618</v>
      </c>
      <c r="C171">
        <v>-1998</v>
      </c>
      <c r="D171">
        <v>18</v>
      </c>
      <c r="E171" t="s">
        <v>493</v>
      </c>
      <c r="F171" t="s">
        <v>550</v>
      </c>
      <c r="G171">
        <v>8.1999999999999993</v>
      </c>
      <c r="H171">
        <v>66</v>
      </c>
      <c r="I171" t="s">
        <v>420</v>
      </c>
      <c r="J171" s="3">
        <v>573418</v>
      </c>
      <c r="K171" t="s">
        <v>619</v>
      </c>
      <c r="M171" s="3" t="str">
        <f>IF(I171="Billy Wilder", "Must Watch", IF(I171="John Ford", "Watch", "Maybe"))</f>
        <v>Maybe</v>
      </c>
    </row>
    <row r="172" spans="1:13" x14ac:dyDescent="0.25">
      <c r="A172">
        <v>171</v>
      </c>
      <c r="B172" t="s">
        <v>620</v>
      </c>
      <c r="C172">
        <v>-1998</v>
      </c>
      <c r="D172" t="s">
        <v>74</v>
      </c>
      <c r="E172" t="s">
        <v>403</v>
      </c>
      <c r="F172" t="s">
        <v>304</v>
      </c>
      <c r="G172">
        <v>8.1999999999999993</v>
      </c>
      <c r="H172">
        <v>90</v>
      </c>
      <c r="I172" t="s">
        <v>621</v>
      </c>
      <c r="J172" s="3">
        <v>1045371</v>
      </c>
      <c r="K172" t="s">
        <v>622</v>
      </c>
      <c r="M172" s="3" t="str">
        <f>IF(I172="Billy Wilder", "Must Watch", IF(I172="John Ford", "Watch", "Maybe"))</f>
        <v>Maybe</v>
      </c>
    </row>
    <row r="173" spans="1:13" x14ac:dyDescent="0.25">
      <c r="A173">
        <v>172</v>
      </c>
      <c r="B173" t="s">
        <v>623</v>
      </c>
      <c r="C173">
        <v>-1997</v>
      </c>
      <c r="D173">
        <v>18</v>
      </c>
      <c r="E173" t="s">
        <v>515</v>
      </c>
      <c r="F173" t="s">
        <v>56</v>
      </c>
      <c r="G173">
        <v>8.1999999999999993</v>
      </c>
      <c r="H173">
        <v>90</v>
      </c>
      <c r="I173" t="s">
        <v>624</v>
      </c>
      <c r="J173" s="3">
        <v>574228</v>
      </c>
      <c r="K173" t="s">
        <v>625</v>
      </c>
      <c r="M173" s="3" t="str">
        <f>IF(I173="Billy Wilder", "Must Watch", IF(I173="John Ford", "Watch", "Maybe"))</f>
        <v>Maybe</v>
      </c>
    </row>
    <row r="174" spans="1:13" x14ac:dyDescent="0.25">
      <c r="A174">
        <v>173</v>
      </c>
      <c r="B174" t="s">
        <v>626</v>
      </c>
      <c r="C174">
        <v>-1997</v>
      </c>
      <c r="D174" t="s">
        <v>74</v>
      </c>
      <c r="E174" t="s">
        <v>221</v>
      </c>
      <c r="F174" t="s">
        <v>627</v>
      </c>
      <c r="G174">
        <v>8.1999999999999993</v>
      </c>
      <c r="H174">
        <v>77</v>
      </c>
      <c r="I174" t="s">
        <v>628</v>
      </c>
      <c r="J174" s="3">
        <v>73827</v>
      </c>
      <c r="K174" t="s">
        <v>629</v>
      </c>
      <c r="M174" s="3" t="str">
        <f>IF(I174="Billy Wilder", "Must Watch", IF(I174="John Ford", "Watch", "Maybe"))</f>
        <v>Maybe</v>
      </c>
    </row>
    <row r="175" spans="1:13" x14ac:dyDescent="0.25">
      <c r="A175">
        <v>174</v>
      </c>
      <c r="B175" t="s">
        <v>630</v>
      </c>
      <c r="C175">
        <v>-1995</v>
      </c>
      <c r="D175">
        <v>18</v>
      </c>
      <c r="E175" t="s">
        <v>75</v>
      </c>
      <c r="F175" t="s">
        <v>26</v>
      </c>
      <c r="G175">
        <v>8.1999999999999993</v>
      </c>
      <c r="H175">
        <v>73</v>
      </c>
      <c r="I175" t="s">
        <v>96</v>
      </c>
      <c r="J175" s="3">
        <v>508995</v>
      </c>
      <c r="K175" t="s">
        <v>631</v>
      </c>
      <c r="M175" s="3" t="str">
        <f>IF(I175="Billy Wilder", "Must Watch", IF(I175="John Ford", "Watch", "Maybe"))</f>
        <v>Maybe</v>
      </c>
    </row>
    <row r="176" spans="1:13" x14ac:dyDescent="0.25">
      <c r="A176">
        <v>175</v>
      </c>
      <c r="B176" t="s">
        <v>632</v>
      </c>
      <c r="C176">
        <v>-1993</v>
      </c>
      <c r="D176" t="s">
        <v>74</v>
      </c>
      <c r="E176" t="s">
        <v>136</v>
      </c>
      <c r="F176" t="s">
        <v>64</v>
      </c>
      <c r="G176">
        <v>8.1999999999999993</v>
      </c>
      <c r="H176">
        <v>68</v>
      </c>
      <c r="I176" t="s">
        <v>43</v>
      </c>
      <c r="J176" s="3">
        <v>959957</v>
      </c>
      <c r="K176" t="s">
        <v>633</v>
      </c>
      <c r="M176" s="3" t="str">
        <f>IF(I176="Billy Wilder", "Must Watch", IF(I176="John Ford", "Watch", "Maybe"))</f>
        <v>Maybe</v>
      </c>
    </row>
    <row r="177" spans="1:13" x14ac:dyDescent="0.25">
      <c r="A177">
        <v>176</v>
      </c>
      <c r="B177" t="s">
        <v>634</v>
      </c>
      <c r="C177">
        <v>-1992</v>
      </c>
      <c r="D177">
        <v>15</v>
      </c>
      <c r="E177" t="s">
        <v>108</v>
      </c>
      <c r="F177" t="s">
        <v>296</v>
      </c>
      <c r="G177">
        <v>8.1999999999999993</v>
      </c>
      <c r="H177">
        <v>85</v>
      </c>
      <c r="I177" t="s">
        <v>635</v>
      </c>
      <c r="J177" s="3">
        <v>405789</v>
      </c>
      <c r="K177" t="s">
        <v>636</v>
      </c>
      <c r="M177" s="3" t="str">
        <f>IF(I177="Billy Wilder", "Must Watch", IF(I177="John Ford", "Watch", "Maybe"))</f>
        <v>Maybe</v>
      </c>
    </row>
    <row r="178" spans="1:13" x14ac:dyDescent="0.25">
      <c r="A178">
        <v>177</v>
      </c>
      <c r="B178" t="s">
        <v>637</v>
      </c>
      <c r="C178">
        <v>-1989</v>
      </c>
      <c r="D178" t="s">
        <v>74</v>
      </c>
      <c r="E178" t="s">
        <v>136</v>
      </c>
      <c r="F178" t="s">
        <v>343</v>
      </c>
      <c r="G178">
        <v>8.1999999999999993</v>
      </c>
      <c r="H178">
        <v>65</v>
      </c>
      <c r="I178" t="s">
        <v>43</v>
      </c>
      <c r="J178" s="3">
        <v>741550</v>
      </c>
      <c r="K178" t="s">
        <v>638</v>
      </c>
      <c r="M178" s="3" t="str">
        <f>IF(I178="Billy Wilder", "Must Watch", IF(I178="John Ford", "Watch", "Maybe"))</f>
        <v>Maybe</v>
      </c>
    </row>
    <row r="179" spans="1:13" x14ac:dyDescent="0.25">
      <c r="A179">
        <v>178</v>
      </c>
      <c r="B179" t="s">
        <v>639</v>
      </c>
      <c r="C179">
        <v>-1988</v>
      </c>
      <c r="D179">
        <v>18</v>
      </c>
      <c r="E179" t="s">
        <v>166</v>
      </c>
      <c r="F179" t="s">
        <v>640</v>
      </c>
      <c r="G179">
        <v>8.1999999999999993</v>
      </c>
      <c r="H179">
        <v>72</v>
      </c>
      <c r="I179" t="s">
        <v>641</v>
      </c>
      <c r="J179" s="3">
        <v>860895</v>
      </c>
      <c r="K179" t="s">
        <v>642</v>
      </c>
      <c r="M179" s="3" t="str">
        <f>IF(I179="Billy Wilder", "Must Watch", IF(I179="John Ford", "Watch", "Maybe"))</f>
        <v>Maybe</v>
      </c>
    </row>
    <row r="180" spans="1:13" x14ac:dyDescent="0.25">
      <c r="A180">
        <v>179</v>
      </c>
      <c r="B180" t="s">
        <v>643</v>
      </c>
      <c r="C180">
        <v>-1985</v>
      </c>
      <c r="D180">
        <v>15</v>
      </c>
      <c r="E180" t="s">
        <v>644</v>
      </c>
      <c r="F180" t="s">
        <v>512</v>
      </c>
      <c r="G180">
        <v>8.1999999999999993</v>
      </c>
      <c r="H180">
        <v>96</v>
      </c>
      <c r="I180" t="s">
        <v>157</v>
      </c>
      <c r="J180" s="3">
        <v>123909</v>
      </c>
      <c r="K180" t="s">
        <v>645</v>
      </c>
      <c r="M180" s="3" t="str">
        <f>IF(I180="Billy Wilder", "Must Watch", IF(I180="John Ford", "Watch", "Maybe"))</f>
        <v>Maybe</v>
      </c>
    </row>
    <row r="181" spans="1:13" x14ac:dyDescent="0.25">
      <c r="A181">
        <v>180</v>
      </c>
      <c r="B181" t="s">
        <v>646</v>
      </c>
      <c r="C181">
        <v>-1982</v>
      </c>
      <c r="D181" t="s">
        <v>24</v>
      </c>
      <c r="E181" t="s">
        <v>241</v>
      </c>
      <c r="F181" t="s">
        <v>647</v>
      </c>
      <c r="G181">
        <v>8.1999999999999993</v>
      </c>
      <c r="H181">
        <v>57</v>
      </c>
      <c r="I181" t="s">
        <v>648</v>
      </c>
      <c r="J181" s="3">
        <v>412323</v>
      </c>
      <c r="K181" t="s">
        <v>649</v>
      </c>
      <c r="M181" s="3" t="str">
        <f>IF(I181="Billy Wilder", "Must Watch", IF(I181="John Ford", "Watch", "Maybe"))</f>
        <v>Maybe</v>
      </c>
    </row>
    <row r="182" spans="1:13" x14ac:dyDescent="0.25">
      <c r="A182">
        <v>181</v>
      </c>
      <c r="B182" t="s">
        <v>650</v>
      </c>
      <c r="C182">
        <v>-1980</v>
      </c>
      <c r="D182" t="s">
        <v>24</v>
      </c>
      <c r="E182" t="s">
        <v>452</v>
      </c>
      <c r="F182" t="s">
        <v>542</v>
      </c>
      <c r="G182">
        <v>8.1999999999999993</v>
      </c>
      <c r="H182">
        <v>89</v>
      </c>
      <c r="I182" t="s">
        <v>96</v>
      </c>
      <c r="J182" s="3">
        <v>347837</v>
      </c>
      <c r="K182" t="s">
        <v>651</v>
      </c>
      <c r="M182" s="3" t="str">
        <f>IF(I182="Billy Wilder", "Must Watch", IF(I182="John Ford", "Watch", "Maybe"))</f>
        <v>Maybe</v>
      </c>
    </row>
    <row r="183" spans="1:13" x14ac:dyDescent="0.25">
      <c r="A183">
        <v>182</v>
      </c>
      <c r="B183" t="s">
        <v>652</v>
      </c>
      <c r="C183">
        <v>-1980</v>
      </c>
      <c r="D183" t="s">
        <v>236</v>
      </c>
      <c r="E183" t="s">
        <v>99</v>
      </c>
      <c r="F183" t="s">
        <v>606</v>
      </c>
      <c r="G183">
        <v>8.1999999999999993</v>
      </c>
      <c r="H183">
        <v>78</v>
      </c>
      <c r="I183" t="s">
        <v>653</v>
      </c>
      <c r="J183" s="3">
        <v>237902</v>
      </c>
      <c r="M183" s="3" t="str">
        <f>IF(I183="Billy Wilder", "Must Watch", IF(I183="John Ford", "Watch", "Maybe"))</f>
        <v>Maybe</v>
      </c>
    </row>
    <row r="184" spans="1:13" x14ac:dyDescent="0.25">
      <c r="A184">
        <v>183</v>
      </c>
      <c r="B184" t="s">
        <v>654</v>
      </c>
      <c r="C184">
        <v>-1976</v>
      </c>
      <c r="D184" t="s">
        <v>24</v>
      </c>
      <c r="E184" t="s">
        <v>655</v>
      </c>
      <c r="F184" t="s">
        <v>26</v>
      </c>
      <c r="G184">
        <v>8.1999999999999993</v>
      </c>
      <c r="H184">
        <v>94</v>
      </c>
      <c r="I184" t="s">
        <v>96</v>
      </c>
      <c r="J184" s="3">
        <v>803975</v>
      </c>
      <c r="K184" t="s">
        <v>656</v>
      </c>
      <c r="M184" s="3" t="str">
        <f>IF(I184="Billy Wilder", "Must Watch", IF(I184="John Ford", "Watch", "Maybe"))</f>
        <v>Maybe</v>
      </c>
    </row>
    <row r="185" spans="1:13" x14ac:dyDescent="0.25">
      <c r="A185">
        <v>184</v>
      </c>
      <c r="B185" t="s">
        <v>657</v>
      </c>
      <c r="C185">
        <v>-1975</v>
      </c>
      <c r="D185">
        <v>15</v>
      </c>
      <c r="E185" t="s">
        <v>658</v>
      </c>
      <c r="F185" t="s">
        <v>659</v>
      </c>
      <c r="G185">
        <v>8.1999999999999993</v>
      </c>
      <c r="H185">
        <v>91</v>
      </c>
      <c r="I185" t="s">
        <v>660</v>
      </c>
      <c r="J185" s="3">
        <v>533793</v>
      </c>
      <c r="K185" t="s">
        <v>661</v>
      </c>
      <c r="M185" s="3" t="str">
        <f>IF(I185="Billy Wilder", "Must Watch", IF(I185="John Ford", "Watch", "Maybe"))</f>
        <v>Maybe</v>
      </c>
    </row>
    <row r="186" spans="1:13" x14ac:dyDescent="0.25">
      <c r="A186">
        <v>185</v>
      </c>
      <c r="B186" t="s">
        <v>662</v>
      </c>
      <c r="C186">
        <v>-1975</v>
      </c>
      <c r="D186" t="s">
        <v>49</v>
      </c>
      <c r="E186" t="s">
        <v>19</v>
      </c>
      <c r="F186" t="s">
        <v>466</v>
      </c>
      <c r="G186">
        <v>8.1999999999999993</v>
      </c>
      <c r="I186" t="s">
        <v>157</v>
      </c>
      <c r="J186" s="3">
        <v>28759</v>
      </c>
      <c r="M186" s="3" t="str">
        <f>IF(I186="Billy Wilder", "Must Watch", IF(I186="John Ford", "Watch", "Maybe"))</f>
        <v>Maybe</v>
      </c>
    </row>
    <row r="187" spans="1:13" x14ac:dyDescent="0.25">
      <c r="A187">
        <v>186</v>
      </c>
      <c r="B187" t="s">
        <v>663</v>
      </c>
      <c r="C187">
        <v>-1974</v>
      </c>
      <c r="D187" t="s">
        <v>24</v>
      </c>
      <c r="E187" t="s">
        <v>108</v>
      </c>
      <c r="F187" t="s">
        <v>317</v>
      </c>
      <c r="G187">
        <v>8.1999999999999993</v>
      </c>
      <c r="H187">
        <v>92</v>
      </c>
      <c r="I187" t="s">
        <v>195</v>
      </c>
      <c r="J187" s="3">
        <v>321365</v>
      </c>
      <c r="K187" t="s">
        <v>664</v>
      </c>
      <c r="M187" s="3" t="str">
        <f>IF(I187="Billy Wilder", "Must Watch", IF(I187="John Ford", "Watch", "Maybe"))</f>
        <v>Maybe</v>
      </c>
    </row>
    <row r="188" spans="1:13" x14ac:dyDescent="0.25">
      <c r="A188">
        <v>187</v>
      </c>
      <c r="B188" t="s">
        <v>665</v>
      </c>
      <c r="C188">
        <v>-1969</v>
      </c>
      <c r="D188" t="s">
        <v>155</v>
      </c>
      <c r="E188" t="s">
        <v>136</v>
      </c>
      <c r="F188" t="s">
        <v>144</v>
      </c>
      <c r="G188">
        <v>8.1999999999999993</v>
      </c>
      <c r="H188">
        <v>86</v>
      </c>
      <c r="I188" t="s">
        <v>666</v>
      </c>
      <c r="J188" s="3">
        <v>28461</v>
      </c>
      <c r="K188" t="s">
        <v>667</v>
      </c>
      <c r="M188" s="3" t="str">
        <f>IF(I188="Billy Wilder", "Must Watch", IF(I188="John Ford", "Watch", "Maybe"))</f>
        <v>Maybe</v>
      </c>
    </row>
    <row r="189" spans="1:13" x14ac:dyDescent="0.25">
      <c r="A189">
        <v>188</v>
      </c>
      <c r="B189" t="s">
        <v>668</v>
      </c>
      <c r="C189">
        <v>-1965</v>
      </c>
      <c r="D189" t="s">
        <v>24</v>
      </c>
      <c r="E189" t="s">
        <v>166</v>
      </c>
      <c r="F189" t="s">
        <v>238</v>
      </c>
      <c r="G189">
        <v>8.1999999999999993</v>
      </c>
      <c r="H189">
        <v>74</v>
      </c>
      <c r="I189" t="s">
        <v>83</v>
      </c>
      <c r="J189" s="3">
        <v>252663</v>
      </c>
      <c r="K189" t="s">
        <v>669</v>
      </c>
      <c r="M189" s="3" t="str">
        <f>IF(I189="Billy Wilder", "Must Watch", IF(I189="John Ford", "Watch", "Maybe"))</f>
        <v>Maybe</v>
      </c>
    </row>
    <row r="190" spans="1:13" x14ac:dyDescent="0.25">
      <c r="A190">
        <v>189</v>
      </c>
      <c r="B190" t="s">
        <v>670</v>
      </c>
      <c r="C190">
        <v>-1963</v>
      </c>
      <c r="D190" t="s">
        <v>74</v>
      </c>
      <c r="E190" t="s">
        <v>671</v>
      </c>
      <c r="F190" t="s">
        <v>672</v>
      </c>
      <c r="G190">
        <v>8.1999999999999993</v>
      </c>
      <c r="H190">
        <v>86</v>
      </c>
      <c r="I190" t="s">
        <v>673</v>
      </c>
      <c r="J190" s="3">
        <v>241672</v>
      </c>
      <c r="K190" t="s">
        <v>674</v>
      </c>
      <c r="M190" s="3" t="str">
        <f>IF(I190="Billy Wilder", "Must Watch", IF(I190="John Ford", "Watch", "Maybe"))</f>
        <v>Maybe</v>
      </c>
    </row>
    <row r="191" spans="1:13" x14ac:dyDescent="0.25">
      <c r="A191">
        <v>190</v>
      </c>
      <c r="B191" t="s">
        <v>675</v>
      </c>
      <c r="C191">
        <v>-1961</v>
      </c>
      <c r="D191" t="s">
        <v>155</v>
      </c>
      <c r="E191" t="s">
        <v>209</v>
      </c>
      <c r="F191" t="s">
        <v>676</v>
      </c>
      <c r="G191">
        <v>8.1999999999999993</v>
      </c>
      <c r="H191">
        <v>93</v>
      </c>
      <c r="I191" t="s">
        <v>157</v>
      </c>
      <c r="J191" s="3">
        <v>121384</v>
      </c>
      <c r="M191" s="3" t="str">
        <f>IF(I191="Billy Wilder", "Must Watch", IF(I191="John Ford", "Watch", "Maybe"))</f>
        <v>Maybe</v>
      </c>
    </row>
    <row r="192" spans="1:13" x14ac:dyDescent="0.25">
      <c r="A192">
        <v>191</v>
      </c>
      <c r="B192" t="s">
        <v>677</v>
      </c>
      <c r="C192">
        <v>-1959</v>
      </c>
      <c r="D192" t="s">
        <v>155</v>
      </c>
      <c r="E192" t="s">
        <v>148</v>
      </c>
      <c r="F192" t="s">
        <v>678</v>
      </c>
      <c r="G192">
        <v>8.1999999999999993</v>
      </c>
      <c r="H192">
        <v>98</v>
      </c>
      <c r="I192" t="s">
        <v>360</v>
      </c>
      <c r="J192" s="3">
        <v>263326</v>
      </c>
      <c r="K192" t="s">
        <v>679</v>
      </c>
      <c r="M192" s="3" t="str">
        <f>IF(I192="Billy Wilder", "Must Watch", IF(I192="John Ford", "Watch", "Maybe"))</f>
        <v>Must Watch</v>
      </c>
    </row>
    <row r="193" spans="1:13" x14ac:dyDescent="0.25">
      <c r="A193">
        <v>192</v>
      </c>
      <c r="B193" t="s">
        <v>680</v>
      </c>
      <c r="C193">
        <v>-1957</v>
      </c>
      <c r="D193" t="s">
        <v>49</v>
      </c>
      <c r="E193" t="s">
        <v>376</v>
      </c>
      <c r="F193" t="s">
        <v>406</v>
      </c>
      <c r="G193">
        <v>8.1999999999999993</v>
      </c>
      <c r="H193">
        <v>87</v>
      </c>
      <c r="I193" t="s">
        <v>467</v>
      </c>
      <c r="J193" s="3">
        <v>218151</v>
      </c>
      <c r="K193" t="s">
        <v>681</v>
      </c>
      <c r="M193" s="3" t="str">
        <f>IF(I193="Billy Wilder", "Must Watch", IF(I193="John Ford", "Watch", "Maybe"))</f>
        <v>Maybe</v>
      </c>
    </row>
    <row r="194" spans="1:13" x14ac:dyDescent="0.25">
      <c r="A194">
        <v>193</v>
      </c>
      <c r="B194" t="s">
        <v>682</v>
      </c>
      <c r="C194">
        <v>-1954</v>
      </c>
      <c r="D194" t="s">
        <v>74</v>
      </c>
      <c r="E194" t="s">
        <v>291</v>
      </c>
      <c r="F194" t="s">
        <v>683</v>
      </c>
      <c r="G194">
        <v>8.1999999999999993</v>
      </c>
      <c r="H194">
        <v>75</v>
      </c>
      <c r="I194" t="s">
        <v>243</v>
      </c>
      <c r="J194" s="3">
        <v>173256</v>
      </c>
      <c r="K194" t="s">
        <v>684</v>
      </c>
      <c r="M194" s="3" t="str">
        <f>IF(I194="Billy Wilder", "Must Watch", IF(I194="John Ford", "Watch", "Maybe"))</f>
        <v>Maybe</v>
      </c>
    </row>
    <row r="195" spans="1:13" x14ac:dyDescent="0.25">
      <c r="A195">
        <v>194</v>
      </c>
      <c r="B195" t="s">
        <v>685</v>
      </c>
      <c r="C195">
        <v>-1953</v>
      </c>
      <c r="D195" t="s">
        <v>49</v>
      </c>
      <c r="E195" t="s">
        <v>89</v>
      </c>
      <c r="F195" t="s">
        <v>20</v>
      </c>
      <c r="G195">
        <v>8.1999999999999993</v>
      </c>
      <c r="I195" t="s">
        <v>686</v>
      </c>
      <c r="J195" s="3">
        <v>60752</v>
      </c>
      <c r="M195" s="3" t="str">
        <f>IF(I195="Billy Wilder", "Must Watch", IF(I195="John Ford", "Watch", "Maybe"))</f>
        <v>Maybe</v>
      </c>
    </row>
    <row r="196" spans="1:13" x14ac:dyDescent="0.25">
      <c r="A196">
        <v>195</v>
      </c>
      <c r="B196" t="s">
        <v>687</v>
      </c>
      <c r="C196">
        <v>-1953</v>
      </c>
      <c r="D196" t="s">
        <v>155</v>
      </c>
      <c r="E196" t="s">
        <v>388</v>
      </c>
      <c r="F196" t="s">
        <v>688</v>
      </c>
      <c r="G196">
        <v>8.1999999999999993</v>
      </c>
      <c r="H196">
        <v>85</v>
      </c>
      <c r="I196" t="s">
        <v>689</v>
      </c>
      <c r="J196" s="3">
        <v>60435</v>
      </c>
      <c r="M196" s="3" t="str">
        <f>IF(I196="Billy Wilder", "Must Watch", IF(I196="John Ford", "Watch", "Maybe"))</f>
        <v>Maybe</v>
      </c>
    </row>
    <row r="197" spans="1:13" x14ac:dyDescent="0.25">
      <c r="A197">
        <v>196</v>
      </c>
      <c r="B197" t="s">
        <v>690</v>
      </c>
      <c r="C197">
        <v>-1952</v>
      </c>
      <c r="D197" t="s">
        <v>155</v>
      </c>
      <c r="E197" t="s">
        <v>221</v>
      </c>
      <c r="F197" t="s">
        <v>20</v>
      </c>
      <c r="G197">
        <v>8.1999999999999993</v>
      </c>
      <c r="H197">
        <v>92</v>
      </c>
      <c r="I197" t="s">
        <v>490</v>
      </c>
      <c r="J197" s="3">
        <v>25649</v>
      </c>
      <c r="K197" t="s">
        <v>691</v>
      </c>
      <c r="M197" s="3" t="str">
        <f>IF(I197="Billy Wilder", "Must Watch", IF(I197="John Ford", "Watch", "Maybe"))</f>
        <v>Maybe</v>
      </c>
    </row>
    <row r="198" spans="1:13" x14ac:dyDescent="0.25">
      <c r="A198">
        <v>197</v>
      </c>
      <c r="B198" t="s">
        <v>692</v>
      </c>
      <c r="C198">
        <v>-1950</v>
      </c>
      <c r="D198" t="s">
        <v>24</v>
      </c>
      <c r="E198" t="s">
        <v>213</v>
      </c>
      <c r="F198" t="s">
        <v>56</v>
      </c>
      <c r="G198">
        <v>8.1999999999999993</v>
      </c>
      <c r="H198">
        <v>98</v>
      </c>
      <c r="I198" t="s">
        <v>157</v>
      </c>
      <c r="J198" s="3">
        <v>166218</v>
      </c>
      <c r="K198" t="s">
        <v>693</v>
      </c>
      <c r="M198" s="3" t="str">
        <f>IF(I198="Billy Wilder", "Must Watch", IF(I198="John Ford", "Watch", "Maybe"))</f>
        <v>Maybe</v>
      </c>
    </row>
    <row r="199" spans="1:13" x14ac:dyDescent="0.25">
      <c r="A199">
        <v>198</v>
      </c>
      <c r="B199" t="s">
        <v>694</v>
      </c>
      <c r="C199">
        <v>-1950</v>
      </c>
      <c r="D199" t="s">
        <v>155</v>
      </c>
      <c r="E199" t="s">
        <v>515</v>
      </c>
      <c r="F199" t="s">
        <v>20</v>
      </c>
      <c r="G199">
        <v>8.1999999999999993</v>
      </c>
      <c r="H199">
        <v>98</v>
      </c>
      <c r="I199" t="s">
        <v>695</v>
      </c>
      <c r="J199" s="3">
        <v>130033</v>
      </c>
      <c r="K199" t="s">
        <v>684</v>
      </c>
      <c r="M199" s="3" t="str">
        <f>IF(I199="Billy Wilder", "Must Watch", IF(I199="John Ford", "Watch", "Maybe"))</f>
        <v>Maybe</v>
      </c>
    </row>
    <row r="200" spans="1:13" x14ac:dyDescent="0.25">
      <c r="A200">
        <v>199</v>
      </c>
      <c r="B200" t="s">
        <v>696</v>
      </c>
      <c r="C200">
        <v>-1948</v>
      </c>
      <c r="D200" t="s">
        <v>155</v>
      </c>
      <c r="E200" t="s">
        <v>263</v>
      </c>
      <c r="F200" t="s">
        <v>697</v>
      </c>
      <c r="G200">
        <v>8.1999999999999993</v>
      </c>
      <c r="H200">
        <v>98</v>
      </c>
      <c r="I200" t="s">
        <v>698</v>
      </c>
      <c r="J200" s="3">
        <v>123600</v>
      </c>
      <c r="K200" t="s">
        <v>699</v>
      </c>
      <c r="M200" s="3" t="str">
        <f>IF(I200="Billy Wilder", "Must Watch", IF(I200="John Ford", "Watch", "Maybe"))</f>
        <v>Maybe</v>
      </c>
    </row>
    <row r="201" spans="1:13" x14ac:dyDescent="0.25">
      <c r="A201">
        <v>200</v>
      </c>
      <c r="B201" t="s">
        <v>700</v>
      </c>
      <c r="C201">
        <v>-1942</v>
      </c>
      <c r="D201" t="s">
        <v>49</v>
      </c>
      <c r="E201" t="s">
        <v>436</v>
      </c>
      <c r="F201" t="s">
        <v>701</v>
      </c>
      <c r="G201">
        <v>8.1999999999999993</v>
      </c>
      <c r="H201">
        <v>86</v>
      </c>
      <c r="I201" t="s">
        <v>702</v>
      </c>
      <c r="J201" s="3">
        <v>36424</v>
      </c>
      <c r="M201" s="3" t="str">
        <f>IF(I201="Billy Wilder", "Must Watch", IF(I201="John Ford", "Watch", "Maybe"))</f>
        <v>Maybe</v>
      </c>
    </row>
    <row r="202" spans="1:13" x14ac:dyDescent="0.25">
      <c r="A202">
        <v>201</v>
      </c>
      <c r="B202" t="s">
        <v>703</v>
      </c>
      <c r="C202">
        <v>-1939</v>
      </c>
      <c r="D202" t="s">
        <v>74</v>
      </c>
      <c r="E202" t="s">
        <v>704</v>
      </c>
      <c r="F202" t="s">
        <v>250</v>
      </c>
      <c r="G202">
        <v>8.1999999999999993</v>
      </c>
      <c r="H202">
        <v>97</v>
      </c>
      <c r="I202" t="s">
        <v>705</v>
      </c>
      <c r="J202" s="3">
        <v>311501</v>
      </c>
      <c r="K202" t="s">
        <v>706</v>
      </c>
      <c r="M202" s="3" t="str">
        <f>IF(I202="Billy Wilder", "Must Watch", IF(I202="John Ford", "Watch", "Maybe"))</f>
        <v>Maybe</v>
      </c>
    </row>
    <row r="203" spans="1:13" x14ac:dyDescent="0.25">
      <c r="A203">
        <v>202</v>
      </c>
      <c r="B203" t="s">
        <v>707</v>
      </c>
      <c r="C203">
        <v>-1928</v>
      </c>
      <c r="D203" t="s">
        <v>155</v>
      </c>
      <c r="E203" t="s">
        <v>209</v>
      </c>
      <c r="F203" t="s">
        <v>42</v>
      </c>
      <c r="G203">
        <v>8.1999999999999993</v>
      </c>
      <c r="I203" t="s">
        <v>708</v>
      </c>
      <c r="J203" s="3">
        <v>53938</v>
      </c>
      <c r="K203" t="s">
        <v>258</v>
      </c>
      <c r="M203" s="3" t="str">
        <f>IF(I203="Billy Wilder", "Must Watch", IF(I203="John Ford", "Watch", "Maybe"))</f>
        <v>Maybe</v>
      </c>
    </row>
    <row r="204" spans="1:13" x14ac:dyDescent="0.25">
      <c r="A204">
        <v>203</v>
      </c>
      <c r="B204" t="s">
        <v>709</v>
      </c>
      <c r="C204">
        <v>-1926</v>
      </c>
      <c r="D204" t="s">
        <v>49</v>
      </c>
      <c r="E204" t="s">
        <v>710</v>
      </c>
      <c r="F204" t="s">
        <v>371</v>
      </c>
      <c r="G204">
        <v>8.1999999999999993</v>
      </c>
      <c r="I204" t="s">
        <v>711</v>
      </c>
      <c r="J204" s="3">
        <v>90328</v>
      </c>
      <c r="K204" t="s">
        <v>712</v>
      </c>
      <c r="M204" s="3" t="str">
        <f>IF(I204="Billy Wilder", "Must Watch", IF(I204="John Ford", "Watch", "Maybe"))</f>
        <v>Maybe</v>
      </c>
    </row>
    <row r="205" spans="1:13" x14ac:dyDescent="0.25">
      <c r="A205">
        <v>204</v>
      </c>
      <c r="B205" t="s">
        <v>713</v>
      </c>
      <c r="C205">
        <v>-1925</v>
      </c>
      <c r="D205" t="s">
        <v>49</v>
      </c>
      <c r="E205" t="s">
        <v>356</v>
      </c>
      <c r="F205" t="s">
        <v>714</v>
      </c>
      <c r="G205">
        <v>8.1999999999999993</v>
      </c>
      <c r="I205" t="s">
        <v>255</v>
      </c>
      <c r="J205" s="3">
        <v>110119</v>
      </c>
      <c r="K205" t="s">
        <v>509</v>
      </c>
      <c r="M205" s="3" t="str">
        <f>IF(I205="Billy Wilder", "Must Watch", IF(I205="John Ford", "Watch", "Maybe"))</f>
        <v>Maybe</v>
      </c>
    </row>
    <row r="206" spans="1:13" x14ac:dyDescent="0.25">
      <c r="A206">
        <v>205</v>
      </c>
      <c r="B206" t="s">
        <v>715</v>
      </c>
      <c r="C206">
        <v>-1924</v>
      </c>
      <c r="D206" t="s">
        <v>49</v>
      </c>
      <c r="E206" t="s">
        <v>716</v>
      </c>
      <c r="F206" t="s">
        <v>717</v>
      </c>
      <c r="G206">
        <v>8.1999999999999993</v>
      </c>
      <c r="I206" t="s">
        <v>718</v>
      </c>
      <c r="J206" s="3">
        <v>48922</v>
      </c>
      <c r="K206" t="s">
        <v>719</v>
      </c>
      <c r="M206" s="3" t="str">
        <f>IF(I206="Billy Wilder", "Must Watch", IF(I206="John Ford", "Watch", "Maybe"))</f>
        <v>Maybe</v>
      </c>
    </row>
    <row r="207" spans="1:13" x14ac:dyDescent="0.25">
      <c r="A207">
        <v>206</v>
      </c>
      <c r="B207" t="s">
        <v>720</v>
      </c>
      <c r="C207">
        <v>-2019</v>
      </c>
      <c r="D207">
        <v>15</v>
      </c>
      <c r="E207" t="s">
        <v>268</v>
      </c>
      <c r="F207" t="s">
        <v>78</v>
      </c>
      <c r="G207">
        <v>8.1</v>
      </c>
      <c r="H207">
        <v>95</v>
      </c>
      <c r="I207" t="s">
        <v>721</v>
      </c>
      <c r="J207" s="3">
        <v>87181</v>
      </c>
      <c r="K207" t="s">
        <v>722</v>
      </c>
      <c r="M207" s="3" t="str">
        <f>IF(I207="Billy Wilder", "Must Watch", IF(I207="John Ford", "Watch", "Maybe"))</f>
        <v>Maybe</v>
      </c>
    </row>
    <row r="208" spans="1:13" x14ac:dyDescent="0.25">
      <c r="A208">
        <v>207</v>
      </c>
      <c r="B208" t="s">
        <v>723</v>
      </c>
      <c r="C208">
        <v>-2022</v>
      </c>
      <c r="D208">
        <v>15</v>
      </c>
      <c r="E208" t="s">
        <v>724</v>
      </c>
      <c r="F208" t="s">
        <v>109</v>
      </c>
      <c r="G208">
        <v>8.1</v>
      </c>
      <c r="H208">
        <v>84</v>
      </c>
      <c r="I208" t="s">
        <v>535</v>
      </c>
      <c r="J208" s="3">
        <v>80114</v>
      </c>
      <c r="M208" s="3" t="str">
        <f>IF(I208="Billy Wilder", "Must Watch", IF(I208="John Ford", "Watch", "Maybe"))</f>
        <v>Maybe</v>
      </c>
    </row>
    <row r="209" spans="1:13" x14ac:dyDescent="0.25">
      <c r="A209">
        <v>208</v>
      </c>
      <c r="B209" t="s">
        <v>725</v>
      </c>
      <c r="C209" t="s">
        <v>726</v>
      </c>
      <c r="D209">
        <v>15</v>
      </c>
      <c r="E209" t="s">
        <v>89</v>
      </c>
      <c r="F209" t="s">
        <v>144</v>
      </c>
      <c r="G209">
        <v>8.1</v>
      </c>
      <c r="I209" t="s">
        <v>727</v>
      </c>
      <c r="J209" s="3">
        <v>44471</v>
      </c>
      <c r="K209" t="s">
        <v>505</v>
      </c>
      <c r="M209" s="3" t="str">
        <f>IF(I209="Billy Wilder", "Must Watch", IF(I209="John Ford", "Watch", "Maybe"))</f>
        <v>Maybe</v>
      </c>
    </row>
    <row r="210" spans="1:13" x14ac:dyDescent="0.25">
      <c r="A210">
        <v>209</v>
      </c>
      <c r="B210" t="s">
        <v>728</v>
      </c>
      <c r="C210">
        <v>-2016</v>
      </c>
      <c r="D210" t="s">
        <v>30</v>
      </c>
      <c r="E210" t="s">
        <v>108</v>
      </c>
      <c r="F210" t="s">
        <v>729</v>
      </c>
      <c r="G210">
        <v>8.1</v>
      </c>
      <c r="H210">
        <v>78</v>
      </c>
      <c r="I210" t="s">
        <v>730</v>
      </c>
      <c r="J210" s="3">
        <v>76737</v>
      </c>
      <c r="M210" s="3" t="str">
        <f>IF(I210="Billy Wilder", "Must Watch", IF(I210="John Ford", "Watch", "Maybe"))</f>
        <v>Maybe</v>
      </c>
    </row>
    <row r="211" spans="1:13" x14ac:dyDescent="0.25">
      <c r="A211">
        <v>210</v>
      </c>
      <c r="B211" t="s">
        <v>731</v>
      </c>
      <c r="C211">
        <v>-2017</v>
      </c>
      <c r="D211">
        <v>15</v>
      </c>
      <c r="E211" t="s">
        <v>342</v>
      </c>
      <c r="F211" t="s">
        <v>453</v>
      </c>
      <c r="G211">
        <v>8.1</v>
      </c>
      <c r="H211">
        <v>88</v>
      </c>
      <c r="I211" t="s">
        <v>732</v>
      </c>
      <c r="J211" s="3">
        <v>493303</v>
      </c>
      <c r="K211" t="s">
        <v>733</v>
      </c>
      <c r="M211" s="3" t="str">
        <f>IF(I211="Billy Wilder", "Must Watch", IF(I211="John Ford", "Watch", "Maybe"))</f>
        <v>Maybe</v>
      </c>
    </row>
    <row r="212" spans="1:13" x14ac:dyDescent="0.25">
      <c r="A212">
        <v>211</v>
      </c>
      <c r="B212" t="s">
        <v>734</v>
      </c>
      <c r="C212">
        <v>-2015</v>
      </c>
      <c r="D212">
        <v>15</v>
      </c>
      <c r="E212" t="s">
        <v>166</v>
      </c>
      <c r="F212" t="s">
        <v>56</v>
      </c>
      <c r="G212">
        <v>8.1</v>
      </c>
      <c r="I212" t="s">
        <v>735</v>
      </c>
      <c r="J212" s="3">
        <v>34923</v>
      </c>
      <c r="K212" t="s">
        <v>736</v>
      </c>
      <c r="M212" s="3" t="str">
        <f>IF(I212="Billy Wilder", "Must Watch", IF(I212="John Ford", "Watch", "Maybe"))</f>
        <v>Maybe</v>
      </c>
    </row>
    <row r="213" spans="1:13" x14ac:dyDescent="0.25">
      <c r="A213">
        <v>212</v>
      </c>
      <c r="B213" t="s">
        <v>737</v>
      </c>
      <c r="C213">
        <v>-2019</v>
      </c>
      <c r="D213" t="s">
        <v>74</v>
      </c>
      <c r="E213" t="s">
        <v>50</v>
      </c>
      <c r="F213" t="s">
        <v>292</v>
      </c>
      <c r="G213">
        <v>8.1</v>
      </c>
      <c r="H213">
        <v>65</v>
      </c>
      <c r="I213" t="s">
        <v>738</v>
      </c>
      <c r="J213" s="3">
        <v>143603</v>
      </c>
      <c r="M213" s="3" t="str">
        <f>IF(I213="Billy Wilder", "Must Watch", IF(I213="John Ford", "Watch", "Maybe"))</f>
        <v>Maybe</v>
      </c>
    </row>
    <row r="214" spans="1:13" x14ac:dyDescent="0.25">
      <c r="A214">
        <v>213</v>
      </c>
      <c r="B214" t="s">
        <v>739</v>
      </c>
      <c r="C214">
        <v>-2015</v>
      </c>
      <c r="D214" t="s">
        <v>740</v>
      </c>
      <c r="E214" t="s">
        <v>241</v>
      </c>
      <c r="F214" t="s">
        <v>20</v>
      </c>
      <c r="G214">
        <v>8.1</v>
      </c>
      <c r="I214" t="s">
        <v>741</v>
      </c>
      <c r="J214" s="3">
        <v>27668</v>
      </c>
      <c r="M214" s="3" t="str">
        <f>IF(I214="Billy Wilder", "Must Watch", IF(I214="John Ford", "Watch", "Maybe"))</f>
        <v>Maybe</v>
      </c>
    </row>
    <row r="215" spans="1:13" x14ac:dyDescent="0.25">
      <c r="A215">
        <v>214</v>
      </c>
      <c r="B215" t="s">
        <v>742</v>
      </c>
      <c r="C215">
        <v>-2016</v>
      </c>
      <c r="D215">
        <v>18</v>
      </c>
      <c r="E215" t="s">
        <v>94</v>
      </c>
      <c r="F215" t="s">
        <v>743</v>
      </c>
      <c r="G215">
        <v>8.1</v>
      </c>
      <c r="H215">
        <v>84</v>
      </c>
      <c r="I215" t="s">
        <v>322</v>
      </c>
      <c r="J215" s="3">
        <v>140583</v>
      </c>
      <c r="K215" t="s">
        <v>744</v>
      </c>
      <c r="M215" s="3" t="str">
        <f>IF(I215="Billy Wilder", "Must Watch", IF(I215="John Ford", "Watch", "Maybe"))</f>
        <v>Maybe</v>
      </c>
    </row>
    <row r="216" spans="1:13" x14ac:dyDescent="0.25">
      <c r="A216">
        <v>215</v>
      </c>
      <c r="B216" t="s">
        <v>745</v>
      </c>
      <c r="C216">
        <v>-2015</v>
      </c>
      <c r="D216" t="s">
        <v>30</v>
      </c>
      <c r="E216" t="s">
        <v>537</v>
      </c>
      <c r="F216" t="s">
        <v>371</v>
      </c>
      <c r="G216">
        <v>8.1</v>
      </c>
      <c r="I216" t="s">
        <v>746</v>
      </c>
      <c r="J216" s="3">
        <v>85667</v>
      </c>
      <c r="K216" t="s">
        <v>361</v>
      </c>
      <c r="M216" s="3" t="str">
        <f>IF(I216="Billy Wilder", "Must Watch", IF(I216="John Ford", "Watch", "Maybe"))</f>
        <v>Maybe</v>
      </c>
    </row>
    <row r="217" spans="1:13" x14ac:dyDescent="0.25">
      <c r="A217">
        <v>216</v>
      </c>
      <c r="B217" t="s">
        <v>747</v>
      </c>
      <c r="C217">
        <v>-2014</v>
      </c>
      <c r="D217">
        <v>15</v>
      </c>
      <c r="E217" t="s">
        <v>260</v>
      </c>
      <c r="F217" t="s">
        <v>32</v>
      </c>
      <c r="G217">
        <v>8.1</v>
      </c>
      <c r="I217" t="s">
        <v>748</v>
      </c>
      <c r="J217" s="3">
        <v>54695</v>
      </c>
      <c r="K217" t="s">
        <v>511</v>
      </c>
      <c r="M217" s="3" t="str">
        <f>IF(I217="Billy Wilder", "Must Watch", IF(I217="John Ford", "Watch", "Maybe"))</f>
        <v>Maybe</v>
      </c>
    </row>
    <row r="218" spans="1:13" x14ac:dyDescent="0.25">
      <c r="A218">
        <v>217</v>
      </c>
      <c r="B218" t="s">
        <v>749</v>
      </c>
      <c r="C218">
        <v>-2013</v>
      </c>
      <c r="D218" t="s">
        <v>30</v>
      </c>
      <c r="E218" t="s">
        <v>349</v>
      </c>
      <c r="F218" t="s">
        <v>714</v>
      </c>
      <c r="G218">
        <v>8.1</v>
      </c>
      <c r="I218" t="s">
        <v>750</v>
      </c>
      <c r="J218" s="3">
        <v>65335</v>
      </c>
      <c r="K218" t="s">
        <v>751</v>
      </c>
      <c r="M218" s="3" t="str">
        <f>IF(I218="Billy Wilder", "Must Watch", IF(I218="John Ford", "Watch", "Maybe"))</f>
        <v>Maybe</v>
      </c>
    </row>
    <row r="219" spans="1:13" x14ac:dyDescent="0.25">
      <c r="A219">
        <v>218</v>
      </c>
      <c r="B219" t="s">
        <v>752</v>
      </c>
      <c r="C219">
        <v>-2017</v>
      </c>
      <c r="D219">
        <v>15</v>
      </c>
      <c r="E219" t="s">
        <v>139</v>
      </c>
      <c r="F219" t="s">
        <v>595</v>
      </c>
      <c r="G219">
        <v>8.1</v>
      </c>
      <c r="H219">
        <v>77</v>
      </c>
      <c r="I219" t="s">
        <v>753</v>
      </c>
      <c r="J219" s="3">
        <v>736287</v>
      </c>
      <c r="K219" t="s">
        <v>754</v>
      </c>
      <c r="M219" s="3" t="str">
        <f>IF(I219="Billy Wilder", "Must Watch", IF(I219="John Ford", "Watch", "Maybe"))</f>
        <v>Maybe</v>
      </c>
    </row>
    <row r="220" spans="1:13" x14ac:dyDescent="0.25">
      <c r="A220">
        <v>219</v>
      </c>
      <c r="B220" t="s">
        <v>755</v>
      </c>
      <c r="C220" t="s">
        <v>546</v>
      </c>
      <c r="D220">
        <v>15</v>
      </c>
      <c r="E220" t="s">
        <v>143</v>
      </c>
      <c r="F220" t="s">
        <v>756</v>
      </c>
      <c r="G220">
        <v>8.1</v>
      </c>
      <c r="H220">
        <v>86</v>
      </c>
      <c r="I220" t="s">
        <v>757</v>
      </c>
      <c r="J220" s="3">
        <v>412018</v>
      </c>
      <c r="K220" t="s">
        <v>758</v>
      </c>
      <c r="M220" s="3" t="str">
        <f>IF(I220="Billy Wilder", "Must Watch", IF(I220="John Ford", "Watch", "Maybe"))</f>
        <v>Maybe</v>
      </c>
    </row>
    <row r="221" spans="1:13" x14ac:dyDescent="0.25">
      <c r="A221">
        <v>220</v>
      </c>
      <c r="B221" t="s">
        <v>759</v>
      </c>
      <c r="C221">
        <v>-2014</v>
      </c>
      <c r="D221">
        <v>15</v>
      </c>
      <c r="E221" t="s">
        <v>268</v>
      </c>
      <c r="F221" t="s">
        <v>167</v>
      </c>
      <c r="G221">
        <v>8.1</v>
      </c>
      <c r="H221">
        <v>77</v>
      </c>
      <c r="I221" t="s">
        <v>760</v>
      </c>
      <c r="J221" s="3">
        <v>194881</v>
      </c>
      <c r="K221" t="s">
        <v>761</v>
      </c>
      <c r="M221" s="3" t="str">
        <f>IF(I221="Billy Wilder", "Must Watch", IF(I221="John Ford", "Watch", "Maybe"))</f>
        <v>Maybe</v>
      </c>
    </row>
    <row r="222" spans="1:13" x14ac:dyDescent="0.25">
      <c r="A222">
        <v>221</v>
      </c>
      <c r="B222" t="s">
        <v>762</v>
      </c>
      <c r="C222">
        <v>-2013</v>
      </c>
      <c r="D222">
        <v>15</v>
      </c>
      <c r="E222" t="s">
        <v>254</v>
      </c>
      <c r="F222" t="s">
        <v>124</v>
      </c>
      <c r="G222">
        <v>8.1</v>
      </c>
      <c r="H222">
        <v>73</v>
      </c>
      <c r="I222" t="s">
        <v>763</v>
      </c>
      <c r="J222" s="3">
        <v>45955</v>
      </c>
      <c r="K222" t="s">
        <v>764</v>
      </c>
      <c r="M222" s="3" t="str">
        <f>IF(I222="Billy Wilder", "Must Watch", IF(I222="John Ford", "Watch", "Maybe"))</f>
        <v>Maybe</v>
      </c>
    </row>
    <row r="223" spans="1:13" x14ac:dyDescent="0.25">
      <c r="A223">
        <v>222</v>
      </c>
      <c r="B223" t="s">
        <v>765</v>
      </c>
      <c r="C223">
        <v>-2014</v>
      </c>
      <c r="D223" t="s">
        <v>30</v>
      </c>
      <c r="E223" t="s">
        <v>86</v>
      </c>
      <c r="F223" t="s">
        <v>766</v>
      </c>
      <c r="G223">
        <v>8.1</v>
      </c>
      <c r="I223" t="s">
        <v>305</v>
      </c>
      <c r="J223" s="3">
        <v>181028</v>
      </c>
      <c r="K223" t="s">
        <v>767</v>
      </c>
      <c r="M223" s="3" t="str">
        <f>IF(I223="Billy Wilder", "Must Watch", IF(I223="John Ford", "Watch", "Maybe"))</f>
        <v>Maybe</v>
      </c>
    </row>
    <row r="224" spans="1:13" x14ac:dyDescent="0.25">
      <c r="A224">
        <v>223</v>
      </c>
      <c r="B224" t="s">
        <v>768</v>
      </c>
      <c r="C224">
        <v>-2012</v>
      </c>
      <c r="D224" t="s">
        <v>74</v>
      </c>
      <c r="E224" t="s">
        <v>119</v>
      </c>
      <c r="F224" t="s">
        <v>769</v>
      </c>
      <c r="G224">
        <v>8.1</v>
      </c>
      <c r="I224" t="s">
        <v>770</v>
      </c>
      <c r="J224" s="3">
        <v>57914</v>
      </c>
      <c r="K224" t="s">
        <v>771</v>
      </c>
      <c r="M224" s="3" t="str">
        <f>IF(I224="Billy Wilder", "Must Watch", IF(I224="John Ford", "Watch", "Maybe"))</f>
        <v>Maybe</v>
      </c>
    </row>
    <row r="225" spans="1:13" x14ac:dyDescent="0.25">
      <c r="A225">
        <v>224</v>
      </c>
      <c r="B225" t="s">
        <v>772</v>
      </c>
      <c r="C225">
        <v>-2014</v>
      </c>
      <c r="D225">
        <v>15</v>
      </c>
      <c r="E225" t="s">
        <v>436</v>
      </c>
      <c r="F225" t="s">
        <v>773</v>
      </c>
      <c r="G225">
        <v>8.1</v>
      </c>
      <c r="H225">
        <v>88</v>
      </c>
      <c r="I225" t="s">
        <v>774</v>
      </c>
      <c r="J225" s="3">
        <v>786913</v>
      </c>
      <c r="K225" t="s">
        <v>775</v>
      </c>
      <c r="M225" s="3" t="str">
        <f>IF(I225="Billy Wilder", "Must Watch", IF(I225="John Ford", "Watch", "Maybe"))</f>
        <v>Maybe</v>
      </c>
    </row>
    <row r="226" spans="1:13" x14ac:dyDescent="0.25">
      <c r="A226">
        <v>225</v>
      </c>
      <c r="B226" t="s">
        <v>776</v>
      </c>
      <c r="C226">
        <v>-2014</v>
      </c>
      <c r="D226">
        <v>18</v>
      </c>
      <c r="E226" t="s">
        <v>287</v>
      </c>
      <c r="F226" t="s">
        <v>317</v>
      </c>
      <c r="G226">
        <v>8.1</v>
      </c>
      <c r="H226">
        <v>79</v>
      </c>
      <c r="I226" t="s">
        <v>71</v>
      </c>
      <c r="J226" s="3">
        <v>957770</v>
      </c>
      <c r="K226" t="s">
        <v>777</v>
      </c>
      <c r="M226" s="3" t="str">
        <f>IF(I226="Billy Wilder", "Must Watch", IF(I226="John Ford", "Watch", "Maybe"))</f>
        <v>Maybe</v>
      </c>
    </row>
    <row r="227" spans="1:13" x14ac:dyDescent="0.25">
      <c r="A227">
        <v>226</v>
      </c>
      <c r="B227" t="s">
        <v>778</v>
      </c>
      <c r="C227">
        <v>-2012</v>
      </c>
      <c r="D227" t="s">
        <v>74</v>
      </c>
      <c r="E227" t="s">
        <v>232</v>
      </c>
      <c r="F227" t="s">
        <v>779</v>
      </c>
      <c r="G227">
        <v>8.1</v>
      </c>
      <c r="H227">
        <v>71</v>
      </c>
      <c r="I227" t="s">
        <v>780</v>
      </c>
      <c r="J227" s="3">
        <v>44205</v>
      </c>
      <c r="M227" s="3" t="str">
        <f>IF(I227="Billy Wilder", "Must Watch", IF(I227="John Ford", "Watch", "Maybe"))</f>
        <v>Maybe</v>
      </c>
    </row>
    <row r="228" spans="1:13" x14ac:dyDescent="0.25">
      <c r="A228">
        <v>227</v>
      </c>
      <c r="B228" t="s">
        <v>781</v>
      </c>
      <c r="C228">
        <v>-2016</v>
      </c>
      <c r="D228">
        <v>15</v>
      </c>
      <c r="E228" t="s">
        <v>70</v>
      </c>
      <c r="F228" t="s">
        <v>42</v>
      </c>
      <c r="G228">
        <v>8.1</v>
      </c>
      <c r="H228">
        <v>71</v>
      </c>
      <c r="I228" t="s">
        <v>335</v>
      </c>
      <c r="J228" s="3">
        <v>507006</v>
      </c>
      <c r="K228" t="s">
        <v>782</v>
      </c>
      <c r="M228" s="3" t="str">
        <f>IF(I228="Billy Wilder", "Must Watch", IF(I228="John Ford", "Watch", "Maybe"))</f>
        <v>Maybe</v>
      </c>
    </row>
    <row r="229" spans="1:13" x14ac:dyDescent="0.25">
      <c r="A229">
        <v>228</v>
      </c>
      <c r="B229" t="s">
        <v>783</v>
      </c>
      <c r="C229">
        <v>-2012</v>
      </c>
      <c r="D229" t="s">
        <v>74</v>
      </c>
      <c r="E229" t="s">
        <v>190</v>
      </c>
      <c r="F229" t="s">
        <v>132</v>
      </c>
      <c r="G229">
        <v>8.1</v>
      </c>
      <c r="I229" t="s">
        <v>784</v>
      </c>
      <c r="J229" s="3">
        <v>81100</v>
      </c>
      <c r="K229" t="s">
        <v>785</v>
      </c>
      <c r="M229" s="3" t="str">
        <f>IF(I229="Billy Wilder", "Must Watch", IF(I229="John Ford", "Watch", "Maybe"))</f>
        <v>Maybe</v>
      </c>
    </row>
    <row r="230" spans="1:13" x14ac:dyDescent="0.25">
      <c r="A230">
        <v>229</v>
      </c>
      <c r="B230" t="s">
        <v>786</v>
      </c>
      <c r="C230">
        <v>-2013</v>
      </c>
      <c r="D230">
        <v>15</v>
      </c>
      <c r="E230" t="s">
        <v>331</v>
      </c>
      <c r="F230" t="s">
        <v>42</v>
      </c>
      <c r="G230">
        <v>8.1</v>
      </c>
      <c r="H230">
        <v>96</v>
      </c>
      <c r="I230" t="s">
        <v>787</v>
      </c>
      <c r="J230" s="3">
        <v>689163</v>
      </c>
      <c r="K230" t="s">
        <v>788</v>
      </c>
      <c r="M230" s="3" t="str">
        <f>IF(I230="Billy Wilder", "Must Watch", IF(I230="John Ford", "Watch", "Maybe"))</f>
        <v>Maybe</v>
      </c>
    </row>
    <row r="231" spans="1:13" x14ac:dyDescent="0.25">
      <c r="A231">
        <v>230</v>
      </c>
      <c r="B231" t="s">
        <v>789</v>
      </c>
      <c r="C231" t="s">
        <v>790</v>
      </c>
      <c r="D231">
        <v>15</v>
      </c>
      <c r="E231" t="s">
        <v>384</v>
      </c>
      <c r="F231" t="s">
        <v>310</v>
      </c>
      <c r="G231">
        <v>8.1</v>
      </c>
      <c r="H231">
        <v>74</v>
      </c>
      <c r="I231" t="s">
        <v>607</v>
      </c>
      <c r="J231" s="3">
        <v>471326</v>
      </c>
      <c r="K231" t="s">
        <v>791</v>
      </c>
      <c r="M231" s="3" t="str">
        <f>IF(I231="Billy Wilder", "Must Watch", IF(I231="John Ford", "Watch", "Maybe"))</f>
        <v>Maybe</v>
      </c>
    </row>
    <row r="232" spans="1:13" x14ac:dyDescent="0.25">
      <c r="A232">
        <v>231</v>
      </c>
      <c r="B232" t="s">
        <v>792</v>
      </c>
      <c r="C232">
        <v>-2019</v>
      </c>
      <c r="D232" t="s">
        <v>30</v>
      </c>
      <c r="E232" t="s">
        <v>31</v>
      </c>
      <c r="F232" t="s">
        <v>310</v>
      </c>
      <c r="G232">
        <v>8.1</v>
      </c>
      <c r="H232">
        <v>81</v>
      </c>
      <c r="I232" t="s">
        <v>753</v>
      </c>
      <c r="J232" s="3">
        <v>372439</v>
      </c>
      <c r="K232" t="s">
        <v>793</v>
      </c>
      <c r="M232" s="3" t="str">
        <f>IF(I232="Billy Wilder", "Must Watch", IF(I232="John Ford", "Watch", "Maybe"))</f>
        <v>Maybe</v>
      </c>
    </row>
    <row r="233" spans="1:13" x14ac:dyDescent="0.25">
      <c r="A233">
        <v>232</v>
      </c>
      <c r="B233" t="s">
        <v>794</v>
      </c>
      <c r="C233" t="s">
        <v>546</v>
      </c>
      <c r="D233">
        <v>15</v>
      </c>
      <c r="E233" t="s">
        <v>452</v>
      </c>
      <c r="F233" t="s">
        <v>95</v>
      </c>
      <c r="G233">
        <v>8.1</v>
      </c>
      <c r="H233">
        <v>93</v>
      </c>
      <c r="I233" t="s">
        <v>795</v>
      </c>
      <c r="J233" s="3">
        <v>461669</v>
      </c>
      <c r="K233" t="s">
        <v>796</v>
      </c>
      <c r="M233" s="3" t="str">
        <f>IF(I233="Billy Wilder", "Must Watch", IF(I233="John Ford", "Watch", "Maybe"))</f>
        <v>Maybe</v>
      </c>
    </row>
    <row r="234" spans="1:13" x14ac:dyDescent="0.25">
      <c r="A234">
        <v>233</v>
      </c>
      <c r="B234" t="s">
        <v>797</v>
      </c>
      <c r="C234">
        <v>-2012</v>
      </c>
      <c r="D234">
        <v>15</v>
      </c>
      <c r="E234" t="s">
        <v>268</v>
      </c>
      <c r="F234" t="s">
        <v>246</v>
      </c>
      <c r="G234">
        <v>8.1</v>
      </c>
      <c r="I234" t="s">
        <v>798</v>
      </c>
      <c r="J234" s="3">
        <v>62446</v>
      </c>
      <c r="K234" t="s">
        <v>799</v>
      </c>
      <c r="M234" s="3" t="str">
        <f>IF(I234="Billy Wilder", "Must Watch", IF(I234="John Ford", "Watch", "Maybe"))</f>
        <v>Maybe</v>
      </c>
    </row>
    <row r="235" spans="1:13" x14ac:dyDescent="0.25">
      <c r="A235">
        <v>234</v>
      </c>
      <c r="B235" t="s">
        <v>800</v>
      </c>
      <c r="C235">
        <v>-2010</v>
      </c>
      <c r="D235" t="s">
        <v>740</v>
      </c>
      <c r="E235" t="s">
        <v>331</v>
      </c>
      <c r="F235" t="s">
        <v>20</v>
      </c>
      <c r="G235">
        <v>8.1</v>
      </c>
      <c r="I235" t="s">
        <v>801</v>
      </c>
      <c r="J235" s="3">
        <v>44852</v>
      </c>
      <c r="K235" t="s">
        <v>684</v>
      </c>
      <c r="M235" s="3" t="str">
        <f>IF(I235="Billy Wilder", "Must Watch", IF(I235="John Ford", "Watch", "Maybe"))</f>
        <v>Maybe</v>
      </c>
    </row>
    <row r="236" spans="1:13" x14ac:dyDescent="0.25">
      <c r="A236">
        <v>235</v>
      </c>
      <c r="B236" t="s">
        <v>802</v>
      </c>
      <c r="C236">
        <v>-2011</v>
      </c>
      <c r="D236" t="s">
        <v>74</v>
      </c>
      <c r="E236" t="s">
        <v>198</v>
      </c>
      <c r="F236" t="s">
        <v>803</v>
      </c>
      <c r="G236">
        <v>8.1</v>
      </c>
      <c r="I236" t="s">
        <v>804</v>
      </c>
      <c r="J236" s="3">
        <v>76522</v>
      </c>
      <c r="K236" t="s">
        <v>761</v>
      </c>
      <c r="M236" s="3" t="str">
        <f>IF(I236="Billy Wilder", "Must Watch", IF(I236="John Ford", "Watch", "Maybe"))</f>
        <v>Maybe</v>
      </c>
    </row>
    <row r="237" spans="1:13" x14ac:dyDescent="0.25">
      <c r="A237">
        <v>236</v>
      </c>
      <c r="B237" t="s">
        <v>805</v>
      </c>
      <c r="C237">
        <v>-2011</v>
      </c>
      <c r="D237" t="s">
        <v>30</v>
      </c>
      <c r="E237" t="s">
        <v>349</v>
      </c>
      <c r="F237" t="s">
        <v>20</v>
      </c>
      <c r="G237">
        <v>8.1</v>
      </c>
      <c r="H237">
        <v>62</v>
      </c>
      <c r="I237" t="s">
        <v>806</v>
      </c>
      <c r="J237" s="3">
        <v>452138</v>
      </c>
      <c r="K237" t="s">
        <v>807</v>
      </c>
      <c r="M237" s="3" t="str">
        <f>IF(I237="Billy Wilder", "Must Watch", IF(I237="John Ford", "Watch", "Maybe"))</f>
        <v>Maybe</v>
      </c>
    </row>
    <row r="238" spans="1:13" x14ac:dyDescent="0.25">
      <c r="A238">
        <v>237</v>
      </c>
      <c r="B238" t="s">
        <v>808</v>
      </c>
      <c r="C238">
        <v>-2013</v>
      </c>
      <c r="D238">
        <v>15</v>
      </c>
      <c r="E238" t="s">
        <v>86</v>
      </c>
      <c r="F238" t="s">
        <v>56</v>
      </c>
      <c r="G238">
        <v>8.1</v>
      </c>
      <c r="H238">
        <v>70</v>
      </c>
      <c r="I238" t="s">
        <v>390</v>
      </c>
      <c r="J238" s="3">
        <v>686045</v>
      </c>
      <c r="K238" t="s">
        <v>809</v>
      </c>
      <c r="M238" s="3" t="str">
        <f>IF(I238="Billy Wilder", "Must Watch", IF(I238="John Ford", "Watch", "Maybe"))</f>
        <v>Maybe</v>
      </c>
    </row>
    <row r="239" spans="1:13" x14ac:dyDescent="0.25">
      <c r="A239">
        <v>238</v>
      </c>
      <c r="B239" t="s">
        <v>810</v>
      </c>
      <c r="C239">
        <v>-2015</v>
      </c>
      <c r="D239">
        <v>15</v>
      </c>
      <c r="E239" t="s">
        <v>811</v>
      </c>
      <c r="F239" t="s">
        <v>64</v>
      </c>
      <c r="G239">
        <v>8.1</v>
      </c>
      <c r="H239">
        <v>90</v>
      </c>
      <c r="I239" t="s">
        <v>812</v>
      </c>
      <c r="J239" s="3">
        <v>975684</v>
      </c>
      <c r="K239" t="s">
        <v>813</v>
      </c>
      <c r="M239" s="3" t="str">
        <f>IF(I239="Billy Wilder", "Must Watch", IF(I239="John Ford", "Watch", "Maybe"))</f>
        <v>Maybe</v>
      </c>
    </row>
    <row r="240" spans="1:13" x14ac:dyDescent="0.25">
      <c r="A240">
        <v>239</v>
      </c>
      <c r="B240" t="s">
        <v>814</v>
      </c>
      <c r="C240">
        <v>-2008</v>
      </c>
      <c r="D240">
        <v>15</v>
      </c>
      <c r="E240" t="s">
        <v>418</v>
      </c>
      <c r="F240" t="s">
        <v>32</v>
      </c>
      <c r="G240">
        <v>8.1</v>
      </c>
      <c r="I240" t="s">
        <v>815</v>
      </c>
      <c r="J240" s="3">
        <v>78129</v>
      </c>
      <c r="M240" s="3" t="str">
        <f>IF(I240="Billy Wilder", "Must Watch", IF(I240="John Ford", "Watch", "Maybe"))</f>
        <v>Maybe</v>
      </c>
    </row>
    <row r="241" spans="1:13" x14ac:dyDescent="0.25">
      <c r="A241">
        <v>240</v>
      </c>
      <c r="B241" t="s">
        <v>816</v>
      </c>
      <c r="C241">
        <v>-2008</v>
      </c>
      <c r="D241">
        <v>15</v>
      </c>
      <c r="E241" t="s">
        <v>131</v>
      </c>
      <c r="F241" t="s">
        <v>20</v>
      </c>
      <c r="G241">
        <v>8.1</v>
      </c>
      <c r="H241">
        <v>72</v>
      </c>
      <c r="I241" t="s">
        <v>635</v>
      </c>
      <c r="J241" s="3">
        <v>764837</v>
      </c>
      <c r="K241" t="s">
        <v>817</v>
      </c>
      <c r="M241" s="3" t="str">
        <f>IF(I241="Billy Wilder", "Must Watch", IF(I241="John Ford", "Watch", "Maybe"))</f>
        <v>Maybe</v>
      </c>
    </row>
    <row r="242" spans="1:13" x14ac:dyDescent="0.25">
      <c r="A242">
        <v>241</v>
      </c>
      <c r="B242" t="s">
        <v>818</v>
      </c>
      <c r="C242">
        <v>-2011</v>
      </c>
      <c r="D242" t="s">
        <v>30</v>
      </c>
      <c r="E242" t="s">
        <v>108</v>
      </c>
      <c r="F242" t="s">
        <v>819</v>
      </c>
      <c r="G242">
        <v>8.1</v>
      </c>
      <c r="H242">
        <v>85</v>
      </c>
      <c r="I242" t="s">
        <v>820</v>
      </c>
      <c r="J242" s="3">
        <v>852274</v>
      </c>
      <c r="K242" t="s">
        <v>821</v>
      </c>
      <c r="M242" s="3" t="str">
        <f>IF(I242="Billy Wilder", "Must Watch", IF(I242="John Ford", "Watch", "Maybe"))</f>
        <v>Maybe</v>
      </c>
    </row>
    <row r="243" spans="1:13" x14ac:dyDescent="0.25">
      <c r="A243">
        <v>242</v>
      </c>
      <c r="B243" t="s">
        <v>822</v>
      </c>
      <c r="C243">
        <v>-2009</v>
      </c>
      <c r="D243" t="s">
        <v>49</v>
      </c>
      <c r="E243" t="s">
        <v>823</v>
      </c>
      <c r="F243" t="s">
        <v>824</v>
      </c>
      <c r="G243">
        <v>8.1</v>
      </c>
      <c r="I243" t="s">
        <v>825</v>
      </c>
      <c r="J243" s="3">
        <v>279561</v>
      </c>
      <c r="M243" s="3" t="str">
        <f>IF(I243="Billy Wilder", "Must Watch", IF(I243="John Ford", "Watch", "Maybe"))</f>
        <v>Maybe</v>
      </c>
    </row>
    <row r="244" spans="1:13" x14ac:dyDescent="0.25">
      <c r="A244">
        <v>243</v>
      </c>
      <c r="B244" t="s">
        <v>826</v>
      </c>
      <c r="C244">
        <v>-2009</v>
      </c>
      <c r="D244" t="s">
        <v>30</v>
      </c>
      <c r="E244" t="s">
        <v>827</v>
      </c>
      <c r="F244" t="s">
        <v>828</v>
      </c>
      <c r="G244">
        <v>8.1</v>
      </c>
      <c r="I244" t="s">
        <v>829</v>
      </c>
      <c r="J244" s="3">
        <v>175621</v>
      </c>
      <c r="M244" s="3" t="str">
        <f>IF(I244="Billy Wilder", "Must Watch", IF(I244="John Ford", "Watch", "Maybe"))</f>
        <v>Maybe</v>
      </c>
    </row>
    <row r="245" spans="1:13" x14ac:dyDescent="0.25">
      <c r="A245">
        <v>244</v>
      </c>
      <c r="B245" t="s">
        <v>830</v>
      </c>
      <c r="C245">
        <v>-2010</v>
      </c>
      <c r="D245" t="s">
        <v>74</v>
      </c>
      <c r="E245" t="s">
        <v>313</v>
      </c>
      <c r="F245" t="s">
        <v>279</v>
      </c>
      <c r="G245">
        <v>8.1</v>
      </c>
      <c r="H245">
        <v>75</v>
      </c>
      <c r="I245" t="s">
        <v>831</v>
      </c>
      <c r="J245" s="3">
        <v>724483</v>
      </c>
      <c r="K245" t="s">
        <v>832</v>
      </c>
      <c r="M245" s="3" t="str">
        <f>IF(I245="Billy Wilder", "Must Watch", IF(I245="John Ford", "Watch", "Maybe"))</f>
        <v>Maybe</v>
      </c>
    </row>
    <row r="246" spans="1:13" x14ac:dyDescent="0.25">
      <c r="A246">
        <v>245</v>
      </c>
      <c r="B246" t="s">
        <v>833</v>
      </c>
      <c r="C246">
        <v>-2007</v>
      </c>
      <c r="D246" t="s">
        <v>74</v>
      </c>
      <c r="E246" t="s">
        <v>86</v>
      </c>
      <c r="F246" t="s">
        <v>627</v>
      </c>
      <c r="G246">
        <v>8.1</v>
      </c>
      <c r="H246">
        <v>68</v>
      </c>
      <c r="I246" t="s">
        <v>834</v>
      </c>
      <c r="J246" s="3">
        <v>79431</v>
      </c>
      <c r="K246" t="s">
        <v>835</v>
      </c>
      <c r="M246" s="3" t="str">
        <f>IF(I246="Billy Wilder", "Must Watch", IF(I246="John Ford", "Watch", "Maybe"))</f>
        <v>Maybe</v>
      </c>
    </row>
    <row r="247" spans="1:13" x14ac:dyDescent="0.25">
      <c r="A247">
        <v>246</v>
      </c>
      <c r="B247" t="s">
        <v>836</v>
      </c>
      <c r="C247">
        <v>-2007</v>
      </c>
      <c r="D247">
        <v>15</v>
      </c>
      <c r="E247" t="s">
        <v>63</v>
      </c>
      <c r="F247" t="s">
        <v>466</v>
      </c>
      <c r="G247">
        <v>8.1</v>
      </c>
      <c r="H247">
        <v>73</v>
      </c>
      <c r="I247" t="s">
        <v>837</v>
      </c>
      <c r="J247" s="3">
        <v>614724</v>
      </c>
      <c r="K247" t="s">
        <v>838</v>
      </c>
      <c r="M247" s="3" t="str">
        <f>IF(I247="Billy Wilder", "Must Watch", IF(I247="John Ford", "Watch", "Maybe"))</f>
        <v>Maybe</v>
      </c>
    </row>
    <row r="248" spans="1:13" x14ac:dyDescent="0.25">
      <c r="A248">
        <v>247</v>
      </c>
      <c r="B248" t="s">
        <v>839</v>
      </c>
      <c r="C248">
        <v>-2006</v>
      </c>
      <c r="D248">
        <v>15</v>
      </c>
      <c r="E248" t="s">
        <v>534</v>
      </c>
      <c r="F248" t="s">
        <v>453</v>
      </c>
      <c r="G248">
        <v>8.1</v>
      </c>
      <c r="I248" t="s">
        <v>543</v>
      </c>
      <c r="J248" s="3">
        <v>118386</v>
      </c>
      <c r="K248" t="s">
        <v>840</v>
      </c>
      <c r="M248" s="3" t="str">
        <f>IF(I248="Billy Wilder", "Must Watch", IF(I248="John Ford", "Watch", "Maybe"))</f>
        <v>Maybe</v>
      </c>
    </row>
    <row r="249" spans="1:13" x14ac:dyDescent="0.25">
      <c r="A249">
        <v>248</v>
      </c>
      <c r="B249" t="s">
        <v>841</v>
      </c>
      <c r="C249">
        <v>-2004</v>
      </c>
      <c r="D249" t="s">
        <v>30</v>
      </c>
      <c r="E249" t="s">
        <v>166</v>
      </c>
      <c r="F249" t="s">
        <v>842</v>
      </c>
      <c r="G249">
        <v>8.1</v>
      </c>
      <c r="H249">
        <v>86</v>
      </c>
      <c r="I249" t="s">
        <v>635</v>
      </c>
      <c r="J249" s="3">
        <v>678134</v>
      </c>
      <c r="K249" t="s">
        <v>843</v>
      </c>
      <c r="M249" s="3" t="str">
        <f>IF(I249="Billy Wilder", "Must Watch", IF(I249="John Ford", "Watch", "Maybe"))</f>
        <v>Maybe</v>
      </c>
    </row>
    <row r="250" spans="1:13" x14ac:dyDescent="0.25">
      <c r="A250">
        <v>249</v>
      </c>
      <c r="B250" t="s">
        <v>844</v>
      </c>
      <c r="C250">
        <v>-2004</v>
      </c>
      <c r="D250" t="s">
        <v>30</v>
      </c>
      <c r="E250" t="s">
        <v>148</v>
      </c>
      <c r="F250" t="s">
        <v>42</v>
      </c>
      <c r="G250">
        <v>8.1</v>
      </c>
      <c r="H250">
        <v>79</v>
      </c>
      <c r="I250" t="s">
        <v>845</v>
      </c>
      <c r="J250" s="3">
        <v>352329</v>
      </c>
      <c r="K250" t="s">
        <v>846</v>
      </c>
      <c r="M250" s="3" t="str">
        <f>IF(I250="Billy Wilder", "Must Watch", IF(I250="John Ford", "Watch", "Maybe"))</f>
        <v>Maybe</v>
      </c>
    </row>
    <row r="251" spans="1:13" x14ac:dyDescent="0.25">
      <c r="A251">
        <v>250</v>
      </c>
      <c r="B251" t="s">
        <v>847</v>
      </c>
      <c r="C251">
        <v>-2007</v>
      </c>
      <c r="D251" t="s">
        <v>49</v>
      </c>
      <c r="E251" t="s">
        <v>610</v>
      </c>
      <c r="F251" t="s">
        <v>292</v>
      </c>
      <c r="G251">
        <v>8.1</v>
      </c>
      <c r="H251">
        <v>96</v>
      </c>
      <c r="I251" t="s">
        <v>848</v>
      </c>
      <c r="J251" s="3">
        <v>710879</v>
      </c>
      <c r="K251" t="s">
        <v>849</v>
      </c>
      <c r="M251" s="3" t="str">
        <f>IF(I251="Billy Wilder", "Must Watch", IF(I251="John Ford", "Watch", "Maybe"))</f>
        <v>Maybe</v>
      </c>
    </row>
    <row r="252" spans="1:13" x14ac:dyDescent="0.25">
      <c r="A252">
        <v>251</v>
      </c>
      <c r="B252" t="s">
        <v>850</v>
      </c>
      <c r="C252">
        <v>-2004</v>
      </c>
      <c r="D252">
        <v>15</v>
      </c>
      <c r="E252" t="s">
        <v>851</v>
      </c>
      <c r="F252" t="s">
        <v>78</v>
      </c>
      <c r="G252">
        <v>8.1</v>
      </c>
      <c r="H252">
        <v>90</v>
      </c>
      <c r="I252" t="s">
        <v>852</v>
      </c>
      <c r="J252" s="3">
        <v>258880</v>
      </c>
      <c r="K252" t="s">
        <v>853</v>
      </c>
      <c r="M252" s="3" t="str">
        <f>IF(I252="Billy Wilder", "Must Watch", IF(I252="John Ford", "Watch", "Maybe"))</f>
        <v>Maybe</v>
      </c>
    </row>
    <row r="253" spans="1:13" x14ac:dyDescent="0.25">
      <c r="A253">
        <v>252</v>
      </c>
      <c r="B253" t="s">
        <v>854</v>
      </c>
      <c r="C253">
        <v>-2005</v>
      </c>
      <c r="D253" t="s">
        <v>30</v>
      </c>
      <c r="E253" t="s">
        <v>268</v>
      </c>
      <c r="F253" t="s">
        <v>20</v>
      </c>
      <c r="G253">
        <v>8.1</v>
      </c>
      <c r="I253" t="s">
        <v>855</v>
      </c>
      <c r="J253" s="3">
        <v>34835</v>
      </c>
      <c r="K253" t="s">
        <v>856</v>
      </c>
      <c r="M253" s="3" t="str">
        <f>IF(I253="Billy Wilder", "Must Watch", IF(I253="John Ford", "Watch", "Maybe"))</f>
        <v>Maybe</v>
      </c>
    </row>
    <row r="254" spans="1:13" x14ac:dyDescent="0.25">
      <c r="A254">
        <v>253</v>
      </c>
      <c r="B254" t="s">
        <v>857</v>
      </c>
      <c r="C254">
        <v>-2003</v>
      </c>
      <c r="D254" t="s">
        <v>74</v>
      </c>
      <c r="E254" t="s">
        <v>527</v>
      </c>
      <c r="F254" t="s">
        <v>304</v>
      </c>
      <c r="G254">
        <v>8.1</v>
      </c>
      <c r="I254" t="s">
        <v>305</v>
      </c>
      <c r="J254" s="3">
        <v>80757</v>
      </c>
      <c r="M254" s="3" t="str">
        <f>IF(I254="Billy Wilder", "Must Watch", IF(I254="John Ford", "Watch", "Maybe"))</f>
        <v>Maybe</v>
      </c>
    </row>
    <row r="255" spans="1:13" x14ac:dyDescent="0.25">
      <c r="A255">
        <v>254</v>
      </c>
      <c r="B255" t="s">
        <v>858</v>
      </c>
      <c r="C255">
        <v>-2004</v>
      </c>
      <c r="D255" t="s">
        <v>49</v>
      </c>
      <c r="E255" t="s">
        <v>859</v>
      </c>
      <c r="F255" t="s">
        <v>860</v>
      </c>
      <c r="G255">
        <v>8.1</v>
      </c>
      <c r="I255" t="s">
        <v>861</v>
      </c>
      <c r="J255" s="3">
        <v>89428</v>
      </c>
      <c r="K255" t="s">
        <v>401</v>
      </c>
      <c r="M255" s="3" t="str">
        <f>IF(I255="Billy Wilder", "Must Watch", IF(I255="John Ford", "Watch", "Maybe"))</f>
        <v>Maybe</v>
      </c>
    </row>
    <row r="256" spans="1:13" x14ac:dyDescent="0.25">
      <c r="A256">
        <v>255</v>
      </c>
      <c r="B256" t="s">
        <v>862</v>
      </c>
      <c r="C256">
        <v>-2003</v>
      </c>
      <c r="D256">
        <v>15</v>
      </c>
      <c r="E256" t="s">
        <v>388</v>
      </c>
      <c r="F256" t="s">
        <v>56</v>
      </c>
      <c r="G256">
        <v>8.1</v>
      </c>
      <c r="H256">
        <v>82</v>
      </c>
      <c r="I256" t="s">
        <v>168</v>
      </c>
      <c r="J256" s="3">
        <v>175596</v>
      </c>
      <c r="K256" t="s">
        <v>684</v>
      </c>
      <c r="M256" s="3" t="str">
        <f>IF(I256="Billy Wilder", "Must Watch", IF(I256="John Ford", "Watch", "Maybe"))</f>
        <v>Maybe</v>
      </c>
    </row>
    <row r="257" spans="1:13" x14ac:dyDescent="0.25">
      <c r="A257">
        <v>256</v>
      </c>
      <c r="B257" t="s">
        <v>863</v>
      </c>
      <c r="C257">
        <v>-2003</v>
      </c>
      <c r="D257" t="s">
        <v>30</v>
      </c>
      <c r="E257" t="s">
        <v>354</v>
      </c>
      <c r="F257" t="s">
        <v>100</v>
      </c>
      <c r="G257">
        <v>8.1</v>
      </c>
      <c r="H257">
        <v>63</v>
      </c>
      <c r="I257" t="s">
        <v>864</v>
      </c>
      <c r="J257" s="3">
        <v>1101240</v>
      </c>
      <c r="K257" t="s">
        <v>865</v>
      </c>
      <c r="M257" s="3" t="str">
        <f>IF(I257="Billy Wilder", "Must Watch", IF(I257="John Ford", "Watch", "Maybe"))</f>
        <v>Maybe</v>
      </c>
    </row>
    <row r="258" spans="1:13" x14ac:dyDescent="0.25">
      <c r="A258">
        <v>257</v>
      </c>
      <c r="B258" t="s">
        <v>866</v>
      </c>
      <c r="C258">
        <v>-2001</v>
      </c>
      <c r="D258" t="s">
        <v>74</v>
      </c>
      <c r="E258" t="s">
        <v>867</v>
      </c>
      <c r="F258" t="s">
        <v>132</v>
      </c>
      <c r="G258">
        <v>8.1</v>
      </c>
      <c r="I258" t="s">
        <v>868</v>
      </c>
      <c r="J258" s="3">
        <v>71492</v>
      </c>
      <c r="K258" t="s">
        <v>869</v>
      </c>
      <c r="M258" s="3" t="str">
        <f>IF(I258="Billy Wilder", "Must Watch", IF(I258="John Ford", "Watch", "Maybe"))</f>
        <v>Maybe</v>
      </c>
    </row>
    <row r="259" spans="1:13" x14ac:dyDescent="0.25">
      <c r="A259">
        <v>258</v>
      </c>
      <c r="B259" t="s">
        <v>870</v>
      </c>
      <c r="C259">
        <v>-2002</v>
      </c>
      <c r="D259" t="s">
        <v>30</v>
      </c>
      <c r="E259" t="s">
        <v>163</v>
      </c>
      <c r="F259" t="s">
        <v>95</v>
      </c>
      <c r="G259">
        <v>8.1</v>
      </c>
      <c r="H259">
        <v>75</v>
      </c>
      <c r="I259" t="s">
        <v>43</v>
      </c>
      <c r="J259" s="3">
        <v>946682</v>
      </c>
      <c r="K259" t="s">
        <v>871</v>
      </c>
      <c r="M259" s="3" t="str">
        <f>IF(I259="Billy Wilder", "Must Watch", IF(I259="John Ford", "Watch", "Maybe"))</f>
        <v>Maybe</v>
      </c>
    </row>
    <row r="260" spans="1:13" x14ac:dyDescent="0.25">
      <c r="A260">
        <v>259</v>
      </c>
      <c r="B260" t="s">
        <v>872</v>
      </c>
      <c r="C260">
        <v>-1998</v>
      </c>
      <c r="E260" t="s">
        <v>493</v>
      </c>
      <c r="F260" t="s">
        <v>167</v>
      </c>
      <c r="G260">
        <v>8.1</v>
      </c>
      <c r="I260" t="s">
        <v>873</v>
      </c>
      <c r="J260" s="3">
        <v>25360</v>
      </c>
      <c r="M260" s="3" t="str">
        <f>IF(I260="Billy Wilder", "Must Watch", IF(I260="John Ford", "Watch", "Maybe"))</f>
        <v>Maybe</v>
      </c>
    </row>
    <row r="261" spans="1:13" x14ac:dyDescent="0.25">
      <c r="A261">
        <v>260</v>
      </c>
      <c r="B261" t="s">
        <v>874</v>
      </c>
      <c r="C261">
        <v>-2000</v>
      </c>
      <c r="D261">
        <v>18</v>
      </c>
      <c r="E261" t="s">
        <v>59</v>
      </c>
      <c r="F261" t="s">
        <v>756</v>
      </c>
      <c r="G261">
        <v>8.1</v>
      </c>
      <c r="H261">
        <v>83</v>
      </c>
      <c r="I261" t="s">
        <v>875</v>
      </c>
      <c r="J261" s="3">
        <v>238080</v>
      </c>
      <c r="K261" t="s">
        <v>876</v>
      </c>
      <c r="M261" s="3" t="str">
        <f>IF(I261="Billy Wilder", "Must Watch", IF(I261="John Ford", "Watch", "Maybe"))</f>
        <v>Maybe</v>
      </c>
    </row>
    <row r="262" spans="1:13" x14ac:dyDescent="0.25">
      <c r="A262">
        <v>261</v>
      </c>
      <c r="B262" t="s">
        <v>877</v>
      </c>
      <c r="C262">
        <v>-2000</v>
      </c>
      <c r="D262">
        <v>15</v>
      </c>
      <c r="E262" t="s">
        <v>527</v>
      </c>
      <c r="F262" t="s">
        <v>550</v>
      </c>
      <c r="G262">
        <v>8.1</v>
      </c>
      <c r="I262" t="s">
        <v>878</v>
      </c>
      <c r="J262" s="3">
        <v>65563</v>
      </c>
      <c r="M262" s="3" t="str">
        <f>IF(I262="Billy Wilder", "Must Watch", IF(I262="John Ford", "Watch", "Maybe"))</f>
        <v>Maybe</v>
      </c>
    </row>
    <row r="263" spans="1:13" x14ac:dyDescent="0.25">
      <c r="A263">
        <v>262</v>
      </c>
      <c r="B263" t="s">
        <v>879</v>
      </c>
      <c r="C263">
        <v>-1999</v>
      </c>
      <c r="D263">
        <v>18</v>
      </c>
      <c r="E263" t="s">
        <v>880</v>
      </c>
      <c r="F263" t="s">
        <v>676</v>
      </c>
      <c r="G263">
        <v>8.1</v>
      </c>
      <c r="I263" t="s">
        <v>881</v>
      </c>
      <c r="J263" s="3">
        <v>25561</v>
      </c>
      <c r="M263" s="3" t="str">
        <f>IF(I263="Billy Wilder", "Must Watch", IF(I263="John Ford", "Watch", "Maybe"))</f>
        <v>Maybe</v>
      </c>
    </row>
    <row r="264" spans="1:13" x14ac:dyDescent="0.25">
      <c r="A264">
        <v>263</v>
      </c>
      <c r="B264" t="s">
        <v>882</v>
      </c>
      <c r="C264">
        <v>-2001</v>
      </c>
      <c r="D264" t="s">
        <v>49</v>
      </c>
      <c r="E264" t="s">
        <v>827</v>
      </c>
      <c r="F264" t="s">
        <v>292</v>
      </c>
      <c r="G264">
        <v>8.1</v>
      </c>
      <c r="H264">
        <v>79</v>
      </c>
      <c r="I264" t="s">
        <v>396</v>
      </c>
      <c r="J264" s="3">
        <v>888866</v>
      </c>
      <c r="K264" t="s">
        <v>883</v>
      </c>
      <c r="M264" s="3" t="str">
        <f>IF(I264="Billy Wilder", "Must Watch", IF(I264="John Ford", "Watch", "Maybe"))</f>
        <v>Maybe</v>
      </c>
    </row>
    <row r="265" spans="1:13" x14ac:dyDescent="0.25">
      <c r="A265">
        <v>264</v>
      </c>
      <c r="B265" t="s">
        <v>884</v>
      </c>
      <c r="C265">
        <v>-2001</v>
      </c>
      <c r="D265" t="s">
        <v>74</v>
      </c>
      <c r="E265" t="s">
        <v>885</v>
      </c>
      <c r="F265" t="s">
        <v>886</v>
      </c>
      <c r="G265">
        <v>8.1</v>
      </c>
      <c r="H265">
        <v>84</v>
      </c>
      <c r="I265" t="s">
        <v>861</v>
      </c>
      <c r="J265" s="3">
        <v>112623</v>
      </c>
      <c r="K265" t="s">
        <v>691</v>
      </c>
      <c r="M265" s="3" t="str">
        <f>IF(I265="Billy Wilder", "Must Watch", IF(I265="John Ford", "Watch", "Maybe"))</f>
        <v>Maybe</v>
      </c>
    </row>
    <row r="266" spans="1:13" x14ac:dyDescent="0.25">
      <c r="A266">
        <v>265</v>
      </c>
      <c r="B266" t="s">
        <v>887</v>
      </c>
      <c r="C266">
        <v>-1998</v>
      </c>
      <c r="D266">
        <v>15</v>
      </c>
      <c r="E266" t="s">
        <v>291</v>
      </c>
      <c r="F266" t="s">
        <v>20</v>
      </c>
      <c r="G266">
        <v>8.1</v>
      </c>
      <c r="H266">
        <v>82</v>
      </c>
      <c r="I266" t="s">
        <v>381</v>
      </c>
      <c r="J266" s="3">
        <v>86337</v>
      </c>
      <c r="K266" t="s">
        <v>888</v>
      </c>
      <c r="M266" s="3" t="str">
        <f>IF(I266="Billy Wilder", "Must Watch", IF(I266="John Ford", "Watch", "Maybe"))</f>
        <v>Maybe</v>
      </c>
    </row>
    <row r="267" spans="1:13" x14ac:dyDescent="0.25">
      <c r="A267">
        <v>266</v>
      </c>
      <c r="B267" t="s">
        <v>889</v>
      </c>
      <c r="C267">
        <v>-1999</v>
      </c>
      <c r="D267" t="s">
        <v>49</v>
      </c>
      <c r="E267" t="s">
        <v>890</v>
      </c>
      <c r="F267" t="s">
        <v>279</v>
      </c>
      <c r="G267">
        <v>8.1</v>
      </c>
      <c r="H267">
        <v>85</v>
      </c>
      <c r="I267" t="s">
        <v>848</v>
      </c>
      <c r="J267" s="3">
        <v>188843</v>
      </c>
      <c r="K267" t="s">
        <v>891</v>
      </c>
      <c r="M267" s="3" t="str">
        <f>IF(I267="Billy Wilder", "Must Watch", IF(I267="John Ford", "Watch", "Maybe"))</f>
        <v>Maybe</v>
      </c>
    </row>
    <row r="268" spans="1:13" x14ac:dyDescent="0.25">
      <c r="A268">
        <v>267</v>
      </c>
      <c r="B268" t="s">
        <v>892</v>
      </c>
      <c r="C268">
        <v>-1998</v>
      </c>
      <c r="D268">
        <v>18</v>
      </c>
      <c r="E268" t="s">
        <v>232</v>
      </c>
      <c r="F268" t="s">
        <v>419</v>
      </c>
      <c r="G268">
        <v>8.1</v>
      </c>
      <c r="H268">
        <v>71</v>
      </c>
      <c r="I268" t="s">
        <v>893</v>
      </c>
      <c r="J268" s="3">
        <v>794359</v>
      </c>
      <c r="K268" t="s">
        <v>894</v>
      </c>
      <c r="M268" s="3" t="str">
        <f>IF(I268="Billy Wilder", "Must Watch", IF(I268="John Ford", "Watch", "Maybe"))</f>
        <v>Maybe</v>
      </c>
    </row>
    <row r="269" spans="1:13" x14ac:dyDescent="0.25">
      <c r="A269">
        <v>268</v>
      </c>
      <c r="B269" t="s">
        <v>895</v>
      </c>
      <c r="C269">
        <v>-1996</v>
      </c>
      <c r="D269">
        <v>18</v>
      </c>
      <c r="E269" t="s">
        <v>823</v>
      </c>
      <c r="F269" t="s">
        <v>20</v>
      </c>
      <c r="G269">
        <v>8.1</v>
      </c>
      <c r="H269">
        <v>83</v>
      </c>
      <c r="I269" t="s">
        <v>896</v>
      </c>
      <c r="J269" s="3">
        <v>676771</v>
      </c>
      <c r="K269" t="s">
        <v>897</v>
      </c>
      <c r="M269" s="3" t="str">
        <f>IF(I269="Billy Wilder", "Must Watch", IF(I269="John Ford", "Watch", "Maybe"))</f>
        <v>Maybe</v>
      </c>
    </row>
    <row r="270" spans="1:13" x14ac:dyDescent="0.25">
      <c r="A270">
        <v>269</v>
      </c>
      <c r="B270" t="s">
        <v>898</v>
      </c>
      <c r="C270">
        <v>-1996</v>
      </c>
      <c r="D270">
        <v>18</v>
      </c>
      <c r="E270" t="s">
        <v>313</v>
      </c>
      <c r="F270" t="s">
        <v>683</v>
      </c>
      <c r="G270">
        <v>8.1</v>
      </c>
      <c r="H270">
        <v>85</v>
      </c>
      <c r="I270" t="s">
        <v>893</v>
      </c>
      <c r="J270" s="3">
        <v>667020</v>
      </c>
      <c r="K270" t="s">
        <v>899</v>
      </c>
      <c r="M270" s="3" t="str">
        <f>IF(I270="Billy Wilder", "Must Watch", IF(I270="John Ford", "Watch", "Maybe"))</f>
        <v>Maybe</v>
      </c>
    </row>
    <row r="271" spans="1:13" x14ac:dyDescent="0.25">
      <c r="A271">
        <v>270</v>
      </c>
      <c r="B271" t="s">
        <v>900</v>
      </c>
      <c r="C271">
        <v>-1996</v>
      </c>
      <c r="D271">
        <v>15</v>
      </c>
      <c r="E271" t="s">
        <v>477</v>
      </c>
      <c r="F271" t="s">
        <v>144</v>
      </c>
      <c r="G271">
        <v>8.1</v>
      </c>
      <c r="I271" t="s">
        <v>901</v>
      </c>
      <c r="J271" s="3">
        <v>69691</v>
      </c>
      <c r="M271" s="3" t="str">
        <f>IF(I271="Billy Wilder", "Must Watch", IF(I271="John Ford", "Watch", "Maybe"))</f>
        <v>Maybe</v>
      </c>
    </row>
    <row r="272" spans="1:13" x14ac:dyDescent="0.25">
      <c r="A272">
        <v>271</v>
      </c>
      <c r="B272" t="s">
        <v>902</v>
      </c>
      <c r="C272">
        <v>-1995</v>
      </c>
      <c r="D272">
        <v>15</v>
      </c>
      <c r="E272" t="s">
        <v>303</v>
      </c>
      <c r="F272" t="s">
        <v>769</v>
      </c>
      <c r="G272">
        <v>8.1</v>
      </c>
      <c r="H272">
        <v>79</v>
      </c>
      <c r="I272" t="s">
        <v>903</v>
      </c>
      <c r="J272" s="3">
        <v>58171</v>
      </c>
      <c r="K272" t="s">
        <v>904</v>
      </c>
      <c r="M272" s="3" t="str">
        <f>IF(I272="Billy Wilder", "Must Watch", IF(I272="John Ford", "Watch", "Maybe"))</f>
        <v>Maybe</v>
      </c>
    </row>
    <row r="273" spans="1:13" x14ac:dyDescent="0.25">
      <c r="A273">
        <v>272</v>
      </c>
      <c r="B273" t="s">
        <v>905</v>
      </c>
      <c r="C273">
        <v>-1995</v>
      </c>
      <c r="D273">
        <v>15</v>
      </c>
      <c r="E273" t="s">
        <v>313</v>
      </c>
      <c r="F273" t="s">
        <v>26</v>
      </c>
      <c r="G273">
        <v>8.1</v>
      </c>
      <c r="I273" t="s">
        <v>906</v>
      </c>
      <c r="J273" s="3">
        <v>169618</v>
      </c>
      <c r="K273" t="s">
        <v>907</v>
      </c>
      <c r="M273" s="3" t="str">
        <f>IF(I273="Billy Wilder", "Must Watch", IF(I273="John Ford", "Watch", "Maybe"))</f>
        <v>Maybe</v>
      </c>
    </row>
    <row r="274" spans="1:13" x14ac:dyDescent="0.25">
      <c r="A274">
        <v>273</v>
      </c>
      <c r="B274" t="s">
        <v>908</v>
      </c>
      <c r="C274">
        <v>-1995</v>
      </c>
      <c r="D274">
        <v>15</v>
      </c>
      <c r="E274" t="s">
        <v>321</v>
      </c>
      <c r="F274" t="s">
        <v>78</v>
      </c>
      <c r="G274">
        <v>8.1</v>
      </c>
      <c r="H274">
        <v>77</v>
      </c>
      <c r="I274" t="s">
        <v>852</v>
      </c>
      <c r="J274" s="3">
        <v>300805</v>
      </c>
      <c r="K274" t="s">
        <v>909</v>
      </c>
      <c r="M274" s="3" t="str">
        <f>IF(I274="Billy Wilder", "Must Watch", IF(I274="John Ford", "Watch", "Maybe"))</f>
        <v>Maybe</v>
      </c>
    </row>
    <row r="275" spans="1:13" x14ac:dyDescent="0.25">
      <c r="A275">
        <v>274</v>
      </c>
      <c r="B275" t="s">
        <v>910</v>
      </c>
      <c r="C275">
        <v>-1994</v>
      </c>
      <c r="D275">
        <v>15</v>
      </c>
      <c r="E275" t="s">
        <v>436</v>
      </c>
      <c r="F275" t="s">
        <v>557</v>
      </c>
      <c r="G275">
        <v>8.1</v>
      </c>
      <c r="H275">
        <v>100</v>
      </c>
      <c r="I275" t="s">
        <v>911</v>
      </c>
      <c r="J275" s="3">
        <v>101965</v>
      </c>
      <c r="K275" t="s">
        <v>912</v>
      </c>
      <c r="M275" s="3" t="str">
        <f>IF(I275="Billy Wilder", "Must Watch", IF(I275="John Ford", "Watch", "Maybe"))</f>
        <v>Maybe</v>
      </c>
    </row>
    <row r="276" spans="1:13" x14ac:dyDescent="0.25">
      <c r="A276">
        <v>275</v>
      </c>
      <c r="B276" t="s">
        <v>913</v>
      </c>
      <c r="C276">
        <v>-1993</v>
      </c>
      <c r="D276">
        <v>15</v>
      </c>
      <c r="E276" t="s">
        <v>104</v>
      </c>
      <c r="F276" t="s">
        <v>95</v>
      </c>
      <c r="G276">
        <v>8.1</v>
      </c>
      <c r="H276">
        <v>84</v>
      </c>
      <c r="I276" t="s">
        <v>914</v>
      </c>
      <c r="J276" s="3">
        <v>172627</v>
      </c>
      <c r="K276" t="s">
        <v>915</v>
      </c>
      <c r="M276" s="3" t="str">
        <f>IF(I276="Billy Wilder", "Must Watch", IF(I276="John Ford", "Watch", "Maybe"))</f>
        <v>Maybe</v>
      </c>
    </row>
    <row r="277" spans="1:13" x14ac:dyDescent="0.25">
      <c r="A277">
        <v>276</v>
      </c>
      <c r="B277" t="s">
        <v>916</v>
      </c>
      <c r="C277">
        <v>-1993</v>
      </c>
      <c r="D277" t="s">
        <v>74</v>
      </c>
      <c r="E277" t="s">
        <v>321</v>
      </c>
      <c r="F277" t="s">
        <v>769</v>
      </c>
      <c r="G277">
        <v>8.1</v>
      </c>
      <c r="H277">
        <v>72</v>
      </c>
      <c r="I277" t="s">
        <v>917</v>
      </c>
      <c r="J277" s="3">
        <v>618485</v>
      </c>
      <c r="K277" t="s">
        <v>918</v>
      </c>
      <c r="M277" s="3" t="str">
        <f>IF(I277="Billy Wilder", "Must Watch", IF(I277="John Ford", "Watch", "Maybe"))</f>
        <v>Maybe</v>
      </c>
    </row>
    <row r="278" spans="1:13" x14ac:dyDescent="0.25">
      <c r="A278">
        <v>277</v>
      </c>
      <c r="B278" t="s">
        <v>919</v>
      </c>
      <c r="C278">
        <v>-1993</v>
      </c>
      <c r="D278">
        <v>15</v>
      </c>
      <c r="E278" t="s">
        <v>920</v>
      </c>
      <c r="F278" t="s">
        <v>921</v>
      </c>
      <c r="G278">
        <v>8.1</v>
      </c>
      <c r="H278">
        <v>83</v>
      </c>
      <c r="I278" t="s">
        <v>922</v>
      </c>
      <c r="J278" s="3">
        <v>28533</v>
      </c>
      <c r="K278" t="s">
        <v>923</v>
      </c>
      <c r="M278" s="3" t="str">
        <f>IF(I278="Billy Wilder", "Must Watch", IF(I278="John Ford", "Watch", "Maybe"))</f>
        <v>Maybe</v>
      </c>
    </row>
    <row r="279" spans="1:13" x14ac:dyDescent="0.25">
      <c r="A279">
        <v>278</v>
      </c>
      <c r="B279" t="s">
        <v>924</v>
      </c>
      <c r="C279">
        <v>-1991</v>
      </c>
      <c r="D279" t="s">
        <v>74</v>
      </c>
      <c r="E279" t="s">
        <v>119</v>
      </c>
      <c r="F279" t="s">
        <v>925</v>
      </c>
      <c r="G279">
        <v>8.1</v>
      </c>
      <c r="I279" t="s">
        <v>926</v>
      </c>
      <c r="J279" s="3">
        <v>32404</v>
      </c>
      <c r="K279" t="s">
        <v>927</v>
      </c>
      <c r="M279" s="3" t="str">
        <f>IF(I279="Billy Wilder", "Must Watch", IF(I279="John Ford", "Watch", "Maybe"))</f>
        <v>Maybe</v>
      </c>
    </row>
    <row r="280" spans="1:13" x14ac:dyDescent="0.25">
      <c r="A280">
        <v>279</v>
      </c>
      <c r="B280" t="s">
        <v>928</v>
      </c>
      <c r="C280">
        <v>-1988</v>
      </c>
      <c r="D280">
        <v>15</v>
      </c>
      <c r="E280" t="s">
        <v>19</v>
      </c>
      <c r="F280" t="s">
        <v>453</v>
      </c>
      <c r="G280">
        <v>8.1</v>
      </c>
      <c r="I280" t="s">
        <v>903</v>
      </c>
      <c r="J280" s="3">
        <v>30569</v>
      </c>
      <c r="K280" t="s">
        <v>358</v>
      </c>
      <c r="M280" s="3" t="str">
        <f>IF(I280="Billy Wilder", "Must Watch", IF(I280="John Ford", "Watch", "Maybe"))</f>
        <v>Maybe</v>
      </c>
    </row>
    <row r="281" spans="1:13" x14ac:dyDescent="0.25">
      <c r="A281">
        <v>280</v>
      </c>
      <c r="B281" t="s">
        <v>929</v>
      </c>
      <c r="C281">
        <v>-1989</v>
      </c>
      <c r="D281" t="s">
        <v>74</v>
      </c>
      <c r="E281" t="s">
        <v>477</v>
      </c>
      <c r="F281" t="s">
        <v>304</v>
      </c>
      <c r="G281">
        <v>8.1</v>
      </c>
      <c r="H281">
        <v>79</v>
      </c>
      <c r="I281" t="s">
        <v>621</v>
      </c>
      <c r="J281" s="3">
        <v>476107</v>
      </c>
      <c r="K281" t="s">
        <v>930</v>
      </c>
      <c r="M281" s="3" t="str">
        <f>IF(I281="Billy Wilder", "Must Watch", IF(I281="John Ford", "Watch", "Maybe"))</f>
        <v>Maybe</v>
      </c>
    </row>
    <row r="282" spans="1:13" x14ac:dyDescent="0.25">
      <c r="A282">
        <v>281</v>
      </c>
      <c r="B282" t="s">
        <v>931</v>
      </c>
      <c r="C282">
        <v>-1988</v>
      </c>
      <c r="D282" t="s">
        <v>49</v>
      </c>
      <c r="E282" t="s">
        <v>890</v>
      </c>
      <c r="F282" t="s">
        <v>932</v>
      </c>
      <c r="G282">
        <v>8.1</v>
      </c>
      <c r="H282">
        <v>86</v>
      </c>
      <c r="I282" t="s">
        <v>121</v>
      </c>
      <c r="J282" s="3">
        <v>329993</v>
      </c>
      <c r="K282" t="s">
        <v>835</v>
      </c>
      <c r="M282" s="3" t="str">
        <f>IF(I282="Billy Wilder", "Must Watch", IF(I282="John Ford", "Watch", "Maybe"))</f>
        <v>Maybe</v>
      </c>
    </row>
    <row r="283" spans="1:13" x14ac:dyDescent="0.25">
      <c r="A283">
        <v>282</v>
      </c>
      <c r="B283" t="s">
        <v>933</v>
      </c>
      <c r="C283">
        <v>-1986</v>
      </c>
      <c r="D283">
        <v>15</v>
      </c>
      <c r="E283" t="s">
        <v>221</v>
      </c>
      <c r="F283" t="s">
        <v>934</v>
      </c>
      <c r="G283">
        <v>8.1</v>
      </c>
      <c r="H283">
        <v>75</v>
      </c>
      <c r="I283" t="s">
        <v>935</v>
      </c>
      <c r="J283" s="3">
        <v>395753</v>
      </c>
      <c r="K283" t="s">
        <v>936</v>
      </c>
      <c r="M283" s="3" t="str">
        <f>IF(I283="Billy Wilder", "Must Watch", IF(I283="John Ford", "Watch", "Maybe"))</f>
        <v>Maybe</v>
      </c>
    </row>
    <row r="284" spans="1:13" x14ac:dyDescent="0.25">
      <c r="A284">
        <v>283</v>
      </c>
      <c r="B284" t="s">
        <v>937</v>
      </c>
      <c r="C284">
        <v>-1986</v>
      </c>
      <c r="D284">
        <v>15</v>
      </c>
      <c r="E284" t="s">
        <v>811</v>
      </c>
      <c r="F284" t="s">
        <v>124</v>
      </c>
      <c r="G284">
        <v>8.1</v>
      </c>
      <c r="H284">
        <v>92</v>
      </c>
      <c r="I284" t="s">
        <v>938</v>
      </c>
      <c r="J284" s="3">
        <v>408735</v>
      </c>
      <c r="K284" t="s">
        <v>939</v>
      </c>
      <c r="M284" s="3" t="str">
        <f>IF(I284="Billy Wilder", "Must Watch", IF(I284="John Ford", "Watch", "Maybe"))</f>
        <v>Maybe</v>
      </c>
    </row>
    <row r="285" spans="1:13" x14ac:dyDescent="0.25">
      <c r="A285">
        <v>284</v>
      </c>
      <c r="B285" t="s">
        <v>940</v>
      </c>
      <c r="C285">
        <v>-1986</v>
      </c>
      <c r="D285" t="s">
        <v>74</v>
      </c>
      <c r="E285" t="s">
        <v>811</v>
      </c>
      <c r="F285" t="s">
        <v>941</v>
      </c>
      <c r="G285">
        <v>8.1</v>
      </c>
      <c r="I285" t="s">
        <v>942</v>
      </c>
      <c r="J285" s="3">
        <v>25735</v>
      </c>
      <c r="K285" t="s">
        <v>943</v>
      </c>
      <c r="M285" s="3" t="str">
        <f>IF(I285="Billy Wilder", "Must Watch", IF(I285="John Ford", "Watch", "Maybe"))</f>
        <v>Maybe</v>
      </c>
    </row>
    <row r="286" spans="1:13" x14ac:dyDescent="0.25">
      <c r="A286">
        <v>285</v>
      </c>
      <c r="B286" t="s">
        <v>944</v>
      </c>
      <c r="C286">
        <v>-1984</v>
      </c>
      <c r="D286">
        <v>18</v>
      </c>
      <c r="E286" t="s">
        <v>493</v>
      </c>
      <c r="F286" t="s">
        <v>90</v>
      </c>
      <c r="G286">
        <v>8.1</v>
      </c>
      <c r="H286">
        <v>84</v>
      </c>
      <c r="I286" t="s">
        <v>140</v>
      </c>
      <c r="J286" s="3">
        <v>846867</v>
      </c>
      <c r="K286" t="s">
        <v>945</v>
      </c>
      <c r="M286" s="3" t="str">
        <f>IF(I286="Billy Wilder", "Must Watch", IF(I286="John Ford", "Watch", "Maybe"))</f>
        <v>Maybe</v>
      </c>
    </row>
    <row r="287" spans="1:13" x14ac:dyDescent="0.25">
      <c r="A287">
        <v>286</v>
      </c>
      <c r="B287" t="s">
        <v>946</v>
      </c>
      <c r="C287">
        <v>-1982</v>
      </c>
      <c r="D287" t="s">
        <v>155</v>
      </c>
      <c r="E287" t="s">
        <v>947</v>
      </c>
      <c r="F287" t="s">
        <v>606</v>
      </c>
      <c r="G287">
        <v>8.1</v>
      </c>
      <c r="H287">
        <v>79</v>
      </c>
      <c r="I287" t="s">
        <v>948</v>
      </c>
      <c r="J287" s="3">
        <v>229087</v>
      </c>
      <c r="K287" t="s">
        <v>949</v>
      </c>
      <c r="M287" s="3" t="str">
        <f>IF(I287="Billy Wilder", "Must Watch", IF(I287="John Ford", "Watch", "Maybe"))</f>
        <v>Maybe</v>
      </c>
    </row>
    <row r="288" spans="1:13" x14ac:dyDescent="0.25">
      <c r="A288">
        <v>287</v>
      </c>
      <c r="B288" t="s">
        <v>950</v>
      </c>
      <c r="C288">
        <v>-1982</v>
      </c>
      <c r="D288">
        <v>15</v>
      </c>
      <c r="E288" t="s">
        <v>951</v>
      </c>
      <c r="F288" t="s">
        <v>20</v>
      </c>
      <c r="G288">
        <v>8.1</v>
      </c>
      <c r="H288">
        <v>100</v>
      </c>
      <c r="I288" t="s">
        <v>952</v>
      </c>
      <c r="J288" s="3">
        <v>63380</v>
      </c>
      <c r="K288" t="s">
        <v>953</v>
      </c>
      <c r="M288" s="3" t="str">
        <f>IF(I288="Billy Wilder", "Must Watch", IF(I288="John Ford", "Watch", "Maybe"))</f>
        <v>Maybe</v>
      </c>
    </row>
    <row r="289" spans="1:13" x14ac:dyDescent="0.25">
      <c r="A289">
        <v>288</v>
      </c>
      <c r="B289" t="s">
        <v>954</v>
      </c>
      <c r="C289">
        <v>-1982</v>
      </c>
      <c r="D289" t="s">
        <v>236</v>
      </c>
      <c r="E289" t="s">
        <v>232</v>
      </c>
      <c r="F289" t="s">
        <v>595</v>
      </c>
      <c r="G289">
        <v>8.1</v>
      </c>
      <c r="H289">
        <v>84</v>
      </c>
      <c r="I289" t="s">
        <v>199</v>
      </c>
      <c r="J289" s="3">
        <v>753332</v>
      </c>
      <c r="K289" t="s">
        <v>955</v>
      </c>
      <c r="M289" s="3" t="str">
        <f>IF(I289="Billy Wilder", "Must Watch", IF(I289="John Ford", "Watch", "Maybe"))</f>
        <v>Maybe</v>
      </c>
    </row>
    <row r="290" spans="1:13" x14ac:dyDescent="0.25">
      <c r="A290">
        <v>289</v>
      </c>
      <c r="B290" t="s">
        <v>956</v>
      </c>
      <c r="C290">
        <v>-1979</v>
      </c>
      <c r="D290" t="s">
        <v>74</v>
      </c>
      <c r="E290" t="s">
        <v>644</v>
      </c>
      <c r="F290" t="s">
        <v>504</v>
      </c>
      <c r="G290">
        <v>8.1</v>
      </c>
      <c r="I290" t="s">
        <v>957</v>
      </c>
      <c r="J290" s="3">
        <v>132099</v>
      </c>
      <c r="K290" t="s">
        <v>958</v>
      </c>
      <c r="M290" s="3" t="str">
        <f>IF(I290="Billy Wilder", "Must Watch", IF(I290="John Ford", "Watch", "Maybe"))</f>
        <v>Maybe</v>
      </c>
    </row>
    <row r="291" spans="1:13" x14ac:dyDescent="0.25">
      <c r="A291">
        <v>290</v>
      </c>
      <c r="B291" t="s">
        <v>959</v>
      </c>
      <c r="C291">
        <v>-1978</v>
      </c>
      <c r="D291" t="s">
        <v>236</v>
      </c>
      <c r="E291" t="s">
        <v>827</v>
      </c>
      <c r="F291" t="s">
        <v>172</v>
      </c>
      <c r="G291">
        <v>8.1</v>
      </c>
      <c r="I291" t="s">
        <v>952</v>
      </c>
      <c r="J291" s="3">
        <v>33938</v>
      </c>
      <c r="M291" s="3" t="str">
        <f>IF(I291="Billy Wilder", "Must Watch", IF(I291="John Ford", "Watch", "Maybe"))</f>
        <v>Maybe</v>
      </c>
    </row>
    <row r="292" spans="1:13" x14ac:dyDescent="0.25">
      <c r="A292">
        <v>291</v>
      </c>
      <c r="B292" t="s">
        <v>960</v>
      </c>
      <c r="C292">
        <v>-1978</v>
      </c>
      <c r="D292" t="s">
        <v>24</v>
      </c>
      <c r="E292" t="s">
        <v>867</v>
      </c>
      <c r="F292" t="s">
        <v>124</v>
      </c>
      <c r="G292">
        <v>8.1</v>
      </c>
      <c r="H292">
        <v>86</v>
      </c>
      <c r="I292" t="s">
        <v>961</v>
      </c>
      <c r="J292" s="3">
        <v>335040</v>
      </c>
      <c r="K292" t="s">
        <v>962</v>
      </c>
      <c r="M292" s="3" t="str">
        <f>IF(I292="Billy Wilder", "Must Watch", IF(I292="John Ford", "Watch", "Maybe"))</f>
        <v>Maybe</v>
      </c>
    </row>
    <row r="293" spans="1:13" x14ac:dyDescent="0.25">
      <c r="A293">
        <v>292</v>
      </c>
      <c r="B293" t="s">
        <v>963</v>
      </c>
      <c r="C293">
        <v>-1976</v>
      </c>
      <c r="D293">
        <v>12</v>
      </c>
      <c r="E293" t="s">
        <v>811</v>
      </c>
      <c r="F293" t="s">
        <v>842</v>
      </c>
      <c r="G293">
        <v>8.1</v>
      </c>
      <c r="H293">
        <v>70</v>
      </c>
      <c r="I293" t="s">
        <v>964</v>
      </c>
      <c r="J293" s="3">
        <v>563395</v>
      </c>
      <c r="K293" t="s">
        <v>965</v>
      </c>
      <c r="M293" s="3" t="str">
        <f>IF(I293="Billy Wilder", "Must Watch", IF(I293="John Ford", "Watch", "Maybe"))</f>
        <v>Maybe</v>
      </c>
    </row>
    <row r="294" spans="1:13" x14ac:dyDescent="0.25">
      <c r="A294">
        <v>293</v>
      </c>
      <c r="B294" t="s">
        <v>966</v>
      </c>
      <c r="C294">
        <v>-1976</v>
      </c>
      <c r="D294" t="s">
        <v>236</v>
      </c>
      <c r="E294" t="s">
        <v>148</v>
      </c>
      <c r="F294" t="s">
        <v>20</v>
      </c>
      <c r="G294">
        <v>8.1</v>
      </c>
      <c r="H294">
        <v>83</v>
      </c>
      <c r="I294" t="s">
        <v>51</v>
      </c>
      <c r="J294" s="3">
        <v>157815</v>
      </c>
      <c r="M294" s="3" t="str">
        <f>IF(I294="Billy Wilder", "Must Watch", IF(I294="John Ford", "Watch", "Maybe"))</f>
        <v>Maybe</v>
      </c>
    </row>
    <row r="295" spans="1:13" x14ac:dyDescent="0.25">
      <c r="A295">
        <v>294</v>
      </c>
      <c r="B295" t="s">
        <v>967</v>
      </c>
      <c r="C295">
        <v>-1976</v>
      </c>
      <c r="D295" t="s">
        <v>74</v>
      </c>
      <c r="E295" t="s">
        <v>968</v>
      </c>
      <c r="F295" t="s">
        <v>42</v>
      </c>
      <c r="G295">
        <v>8.1</v>
      </c>
      <c r="I295" t="s">
        <v>969</v>
      </c>
      <c r="J295" s="3">
        <v>47222</v>
      </c>
      <c r="M295" s="3" t="str">
        <f>IF(I295="Billy Wilder", "Must Watch", IF(I295="John Ford", "Watch", "Maybe"))</f>
        <v>Maybe</v>
      </c>
    </row>
    <row r="296" spans="1:13" x14ac:dyDescent="0.25">
      <c r="A296">
        <v>295</v>
      </c>
      <c r="B296" t="s">
        <v>970</v>
      </c>
      <c r="C296">
        <v>-1975</v>
      </c>
      <c r="D296" t="s">
        <v>74</v>
      </c>
      <c r="E296" t="s">
        <v>971</v>
      </c>
      <c r="F296" t="s">
        <v>371</v>
      </c>
      <c r="G296">
        <v>8.1</v>
      </c>
      <c r="I296" t="s">
        <v>972</v>
      </c>
      <c r="J296" s="3">
        <v>55246</v>
      </c>
      <c r="M296" s="3" t="str">
        <f>IF(I296="Billy Wilder", "Must Watch", IF(I296="John Ford", "Watch", "Maybe"))</f>
        <v>Maybe</v>
      </c>
    </row>
    <row r="297" spans="1:13" x14ac:dyDescent="0.25">
      <c r="A297">
        <v>296</v>
      </c>
      <c r="B297" t="s">
        <v>973</v>
      </c>
      <c r="C297">
        <v>-1975</v>
      </c>
      <c r="D297" t="s">
        <v>155</v>
      </c>
      <c r="E297" t="s">
        <v>99</v>
      </c>
      <c r="F297" t="s">
        <v>974</v>
      </c>
      <c r="G297">
        <v>8.1</v>
      </c>
      <c r="H297">
        <v>87</v>
      </c>
      <c r="I297" t="s">
        <v>43</v>
      </c>
      <c r="J297" s="3">
        <v>587696</v>
      </c>
      <c r="K297" t="s">
        <v>975</v>
      </c>
      <c r="M297" s="3" t="str">
        <f>IF(I297="Billy Wilder", "Must Watch", IF(I297="John Ford", "Watch", "Maybe"))</f>
        <v>Maybe</v>
      </c>
    </row>
    <row r="298" spans="1:13" x14ac:dyDescent="0.25">
      <c r="A298">
        <v>297</v>
      </c>
      <c r="B298" t="s">
        <v>976</v>
      </c>
      <c r="C298">
        <v>-1975</v>
      </c>
      <c r="D298" t="s">
        <v>155</v>
      </c>
      <c r="E298" t="s">
        <v>977</v>
      </c>
      <c r="F298" t="s">
        <v>406</v>
      </c>
      <c r="G298">
        <v>8.1</v>
      </c>
      <c r="H298">
        <v>89</v>
      </c>
      <c r="I298" t="s">
        <v>351</v>
      </c>
      <c r="J298" s="3">
        <v>164979</v>
      </c>
      <c r="M298" s="3" t="str">
        <f>IF(I298="Billy Wilder", "Must Watch", IF(I298="John Ford", "Watch", "Maybe"))</f>
        <v>Maybe</v>
      </c>
    </row>
    <row r="299" spans="1:13" x14ac:dyDescent="0.25">
      <c r="A299">
        <v>298</v>
      </c>
      <c r="B299" t="s">
        <v>978</v>
      </c>
      <c r="C299">
        <v>-1973</v>
      </c>
      <c r="D299" t="s">
        <v>155</v>
      </c>
      <c r="E299" t="s">
        <v>249</v>
      </c>
      <c r="F299" t="s">
        <v>453</v>
      </c>
      <c r="G299">
        <v>8.1</v>
      </c>
      <c r="H299">
        <v>77</v>
      </c>
      <c r="I299" t="s">
        <v>979</v>
      </c>
      <c r="J299" s="3">
        <v>47203</v>
      </c>
      <c r="K299" t="s">
        <v>980</v>
      </c>
      <c r="M299" s="3" t="str">
        <f>IF(I299="Billy Wilder", "Must Watch", IF(I299="John Ford", "Watch", "Maybe"))</f>
        <v>Maybe</v>
      </c>
    </row>
    <row r="300" spans="1:13" x14ac:dyDescent="0.25">
      <c r="A300">
        <v>299</v>
      </c>
      <c r="B300" t="s">
        <v>981</v>
      </c>
      <c r="C300">
        <v>-1973</v>
      </c>
      <c r="D300" t="s">
        <v>24</v>
      </c>
      <c r="E300" t="s">
        <v>268</v>
      </c>
      <c r="F300" t="s">
        <v>982</v>
      </c>
      <c r="G300">
        <v>8.1</v>
      </c>
      <c r="H300">
        <v>81</v>
      </c>
      <c r="I300" t="s">
        <v>983</v>
      </c>
      <c r="J300" s="3">
        <v>395364</v>
      </c>
      <c r="K300" t="s">
        <v>984</v>
      </c>
      <c r="M300" s="3" t="str">
        <f>IF(I300="Billy Wilder", "Must Watch", IF(I300="John Ford", "Watch", "Maybe"))</f>
        <v>Maybe</v>
      </c>
    </row>
    <row r="301" spans="1:13" x14ac:dyDescent="0.25">
      <c r="A301">
        <v>300</v>
      </c>
      <c r="B301" t="s">
        <v>985</v>
      </c>
      <c r="C301">
        <v>-1971</v>
      </c>
      <c r="D301" t="s">
        <v>49</v>
      </c>
      <c r="E301" t="s">
        <v>268</v>
      </c>
      <c r="F301" t="s">
        <v>860</v>
      </c>
      <c r="G301">
        <v>8.1</v>
      </c>
      <c r="I301" t="s">
        <v>986</v>
      </c>
      <c r="J301" s="3">
        <v>33599</v>
      </c>
      <c r="M301" s="3" t="str">
        <f>IF(I301="Billy Wilder", "Must Watch", IF(I301="John Ford", "Watch", "Maybe"))</f>
        <v>Maybe</v>
      </c>
    </row>
    <row r="302" spans="1:13" x14ac:dyDescent="0.25">
      <c r="A302">
        <v>301</v>
      </c>
      <c r="B302" t="s">
        <v>987</v>
      </c>
      <c r="C302">
        <v>-1967</v>
      </c>
      <c r="D302" t="s">
        <v>155</v>
      </c>
      <c r="E302" t="s">
        <v>136</v>
      </c>
      <c r="F302" t="s">
        <v>26</v>
      </c>
      <c r="G302">
        <v>8.1</v>
      </c>
      <c r="H302">
        <v>92</v>
      </c>
      <c r="I302" t="s">
        <v>988</v>
      </c>
      <c r="J302" s="3">
        <v>175217</v>
      </c>
      <c r="K302" t="s">
        <v>989</v>
      </c>
      <c r="M302" s="3" t="str">
        <f>IF(I302="Billy Wilder", "Must Watch", IF(I302="John Ford", "Watch", "Maybe"))</f>
        <v>Maybe</v>
      </c>
    </row>
    <row r="303" spans="1:13" x14ac:dyDescent="0.25">
      <c r="A303">
        <v>302</v>
      </c>
      <c r="B303" t="s">
        <v>990</v>
      </c>
      <c r="C303">
        <v>-1966</v>
      </c>
      <c r="D303" t="s">
        <v>24</v>
      </c>
      <c r="E303" t="s">
        <v>991</v>
      </c>
      <c r="F303" t="s">
        <v>756</v>
      </c>
      <c r="G303">
        <v>8.1</v>
      </c>
      <c r="H303">
        <v>86</v>
      </c>
      <c r="I303" t="s">
        <v>952</v>
      </c>
      <c r="J303" s="3">
        <v>116450</v>
      </c>
      <c r="M303" s="3" t="str">
        <f>IF(I303="Billy Wilder", "Must Watch", IF(I303="John Ford", "Watch", "Maybe"))</f>
        <v>Maybe</v>
      </c>
    </row>
    <row r="304" spans="1:13" x14ac:dyDescent="0.25">
      <c r="A304">
        <v>303</v>
      </c>
      <c r="B304" t="s">
        <v>992</v>
      </c>
      <c r="C304">
        <v>-1965</v>
      </c>
      <c r="D304" t="s">
        <v>49</v>
      </c>
      <c r="E304" t="s">
        <v>671</v>
      </c>
      <c r="F304" t="s">
        <v>824</v>
      </c>
      <c r="G304">
        <v>8.1</v>
      </c>
      <c r="H304">
        <v>63</v>
      </c>
      <c r="I304" t="s">
        <v>993</v>
      </c>
      <c r="J304" s="3">
        <v>228758</v>
      </c>
      <c r="K304" t="s">
        <v>994</v>
      </c>
      <c r="M304" s="3" t="str">
        <f>IF(I304="Billy Wilder", "Must Watch", IF(I304="John Ford", "Watch", "Maybe"))</f>
        <v>Maybe</v>
      </c>
    </row>
    <row r="305" spans="1:13" x14ac:dyDescent="0.25">
      <c r="A305">
        <v>304</v>
      </c>
      <c r="B305" t="s">
        <v>995</v>
      </c>
      <c r="C305">
        <v>-1966</v>
      </c>
      <c r="D305" t="s">
        <v>24</v>
      </c>
      <c r="E305" t="s">
        <v>148</v>
      </c>
      <c r="F305" t="s">
        <v>124</v>
      </c>
      <c r="G305">
        <v>8.1</v>
      </c>
      <c r="H305">
        <v>96</v>
      </c>
      <c r="I305" t="s">
        <v>996</v>
      </c>
      <c r="J305" s="3">
        <v>59465</v>
      </c>
      <c r="K305" t="s">
        <v>488</v>
      </c>
      <c r="M305" s="3" t="str">
        <f>IF(I305="Billy Wilder", "Must Watch", IF(I305="John Ford", "Watch", "Maybe"))</f>
        <v>Maybe</v>
      </c>
    </row>
    <row r="306" spans="1:13" x14ac:dyDescent="0.25">
      <c r="A306">
        <v>305</v>
      </c>
      <c r="B306" t="s">
        <v>997</v>
      </c>
      <c r="C306">
        <v>-1962</v>
      </c>
      <c r="D306" t="s">
        <v>49</v>
      </c>
      <c r="E306" t="s">
        <v>384</v>
      </c>
      <c r="F306" t="s">
        <v>296</v>
      </c>
      <c r="G306">
        <v>8.1</v>
      </c>
      <c r="H306">
        <v>94</v>
      </c>
      <c r="I306" t="s">
        <v>998</v>
      </c>
      <c r="J306" s="3">
        <v>75388</v>
      </c>
      <c r="M306" s="3" t="str">
        <f>IF(I306="Billy Wilder", "Must Watch", IF(I306="John Ford", "Watch", "Maybe"))</f>
        <v>Watch</v>
      </c>
    </row>
    <row r="307" spans="1:13" x14ac:dyDescent="0.25">
      <c r="A307">
        <v>306</v>
      </c>
      <c r="B307" t="s">
        <v>999</v>
      </c>
      <c r="C307">
        <v>-1960</v>
      </c>
      <c r="D307">
        <v>15</v>
      </c>
      <c r="E307" t="s">
        <v>221</v>
      </c>
      <c r="F307" t="s">
        <v>20</v>
      </c>
      <c r="G307">
        <v>8.1</v>
      </c>
      <c r="I307" t="s">
        <v>952</v>
      </c>
      <c r="J307" s="3">
        <v>29129</v>
      </c>
      <c r="K307" t="s">
        <v>1000</v>
      </c>
      <c r="M307" s="3" t="str">
        <f>IF(I307="Billy Wilder", "Must Watch", IF(I307="John Ford", "Watch", "Maybe"))</f>
        <v>Maybe</v>
      </c>
    </row>
    <row r="308" spans="1:13" x14ac:dyDescent="0.25">
      <c r="A308">
        <v>307</v>
      </c>
      <c r="B308" t="s">
        <v>1001</v>
      </c>
      <c r="C308">
        <v>-1960</v>
      </c>
      <c r="D308" t="s">
        <v>155</v>
      </c>
      <c r="E308" t="s">
        <v>477</v>
      </c>
      <c r="F308" t="s">
        <v>42</v>
      </c>
      <c r="G308">
        <v>8.1</v>
      </c>
      <c r="H308">
        <v>75</v>
      </c>
      <c r="I308" t="s">
        <v>470</v>
      </c>
      <c r="J308" s="3">
        <v>30006</v>
      </c>
      <c r="M308" s="3" t="str">
        <f>IF(I308="Billy Wilder", "Must Watch", IF(I308="John Ford", "Watch", "Maybe"))</f>
        <v>Maybe</v>
      </c>
    </row>
    <row r="309" spans="1:13" x14ac:dyDescent="0.25">
      <c r="A309">
        <v>308</v>
      </c>
      <c r="B309" t="s">
        <v>1002</v>
      </c>
      <c r="C309">
        <v>-1959</v>
      </c>
      <c r="D309" t="s">
        <v>155</v>
      </c>
      <c r="E309" t="s">
        <v>436</v>
      </c>
      <c r="F309" t="s">
        <v>26</v>
      </c>
      <c r="G309">
        <v>8.1</v>
      </c>
      <c r="I309" t="s">
        <v>1003</v>
      </c>
      <c r="J309" s="3">
        <v>116226</v>
      </c>
      <c r="M309" s="3" t="str">
        <f>IF(I309="Billy Wilder", "Must Watch", IF(I309="John Ford", "Watch", "Maybe"))</f>
        <v>Maybe</v>
      </c>
    </row>
    <row r="310" spans="1:13" x14ac:dyDescent="0.25">
      <c r="A310">
        <v>309</v>
      </c>
      <c r="B310" t="s">
        <v>1004</v>
      </c>
      <c r="C310">
        <v>-1959</v>
      </c>
      <c r="D310" t="s">
        <v>155</v>
      </c>
      <c r="E310" t="s">
        <v>1005</v>
      </c>
      <c r="F310" t="s">
        <v>672</v>
      </c>
      <c r="G310">
        <v>8.1</v>
      </c>
      <c r="H310">
        <v>90</v>
      </c>
      <c r="I310" t="s">
        <v>1006</v>
      </c>
      <c r="J310" s="3">
        <v>236704</v>
      </c>
      <c r="K310" t="s">
        <v>1007</v>
      </c>
      <c r="M310" s="3" t="str">
        <f>IF(I310="Billy Wilder", "Must Watch", IF(I310="John Ford", "Watch", "Maybe"))</f>
        <v>Maybe</v>
      </c>
    </row>
    <row r="311" spans="1:13" x14ac:dyDescent="0.25">
      <c r="A311">
        <v>310</v>
      </c>
      <c r="B311" t="s">
        <v>1008</v>
      </c>
      <c r="C311">
        <v>-1958</v>
      </c>
      <c r="D311" t="s">
        <v>155</v>
      </c>
      <c r="E311" t="s">
        <v>70</v>
      </c>
      <c r="F311" t="s">
        <v>37</v>
      </c>
      <c r="G311">
        <v>8.1</v>
      </c>
      <c r="H311">
        <v>89</v>
      </c>
      <c r="I311" t="s">
        <v>157</v>
      </c>
      <c r="J311" s="3">
        <v>38749</v>
      </c>
      <c r="M311" s="3" t="str">
        <f>IF(I311="Billy Wilder", "Must Watch", IF(I311="John Ford", "Watch", "Maybe"))</f>
        <v>Maybe</v>
      </c>
    </row>
    <row r="312" spans="1:13" x14ac:dyDescent="0.25">
      <c r="A312">
        <v>311</v>
      </c>
      <c r="B312" t="s">
        <v>1009</v>
      </c>
      <c r="C312">
        <v>-1957</v>
      </c>
      <c r="D312" t="s">
        <v>155</v>
      </c>
      <c r="E312" t="s">
        <v>658</v>
      </c>
      <c r="F312" t="s">
        <v>78</v>
      </c>
      <c r="G312">
        <v>8.1</v>
      </c>
      <c r="H312">
        <v>88</v>
      </c>
      <c r="I312" t="s">
        <v>952</v>
      </c>
      <c r="J312" s="3">
        <v>106127</v>
      </c>
      <c r="M312" s="3" t="str">
        <f>IF(I312="Billy Wilder", "Must Watch", IF(I312="John Ford", "Watch", "Maybe"))</f>
        <v>Maybe</v>
      </c>
    </row>
    <row r="313" spans="1:13" x14ac:dyDescent="0.25">
      <c r="A313">
        <v>312</v>
      </c>
      <c r="B313" t="s">
        <v>1010</v>
      </c>
      <c r="C313">
        <v>-1957</v>
      </c>
      <c r="D313" t="s">
        <v>24</v>
      </c>
      <c r="E313" t="s">
        <v>50</v>
      </c>
      <c r="F313" t="s">
        <v>1011</v>
      </c>
      <c r="G313">
        <v>8.1</v>
      </c>
      <c r="H313">
        <v>88</v>
      </c>
      <c r="I313" t="s">
        <v>952</v>
      </c>
      <c r="J313" s="3">
        <v>182662</v>
      </c>
      <c r="M313" s="3" t="str">
        <f>IF(I313="Billy Wilder", "Must Watch", IF(I313="John Ford", "Watch", "Maybe"))</f>
        <v>Maybe</v>
      </c>
    </row>
    <row r="314" spans="1:13" x14ac:dyDescent="0.25">
      <c r="A314">
        <v>313</v>
      </c>
      <c r="B314" t="s">
        <v>1012</v>
      </c>
      <c r="C314">
        <v>-1957</v>
      </c>
      <c r="D314" t="s">
        <v>24</v>
      </c>
      <c r="E314" t="s">
        <v>209</v>
      </c>
      <c r="F314" t="s">
        <v>20</v>
      </c>
      <c r="G314">
        <v>8.1</v>
      </c>
      <c r="I314" t="s">
        <v>1013</v>
      </c>
      <c r="J314" s="3">
        <v>48549</v>
      </c>
      <c r="K314" t="s">
        <v>1014</v>
      </c>
      <c r="M314" s="3" t="str">
        <f>IF(I314="Billy Wilder", "Must Watch", IF(I314="John Ford", "Watch", "Maybe"))</f>
        <v>Maybe</v>
      </c>
    </row>
    <row r="315" spans="1:13" x14ac:dyDescent="0.25">
      <c r="A315">
        <v>314</v>
      </c>
      <c r="B315" t="s">
        <v>1015</v>
      </c>
      <c r="C315">
        <v>-1957</v>
      </c>
      <c r="D315" t="s">
        <v>155</v>
      </c>
      <c r="E315" t="s">
        <v>209</v>
      </c>
      <c r="F315" t="s">
        <v>1016</v>
      </c>
      <c r="G315">
        <v>8.1</v>
      </c>
      <c r="I315" t="s">
        <v>157</v>
      </c>
      <c r="J315" s="3">
        <v>51750</v>
      </c>
      <c r="M315" s="3" t="str">
        <f>IF(I315="Billy Wilder", "Must Watch", IF(I315="John Ford", "Watch", "Maybe"))</f>
        <v>Maybe</v>
      </c>
    </row>
    <row r="316" spans="1:13" x14ac:dyDescent="0.25">
      <c r="A316">
        <v>315</v>
      </c>
      <c r="B316" t="s">
        <v>1017</v>
      </c>
      <c r="C316">
        <v>-1955</v>
      </c>
      <c r="D316">
        <v>12</v>
      </c>
      <c r="E316" t="s">
        <v>143</v>
      </c>
      <c r="F316" t="s">
        <v>144</v>
      </c>
      <c r="G316">
        <v>8.1</v>
      </c>
      <c r="H316">
        <v>97</v>
      </c>
      <c r="I316" t="s">
        <v>1018</v>
      </c>
      <c r="J316" s="3">
        <v>34120</v>
      </c>
      <c r="K316" t="s">
        <v>488</v>
      </c>
      <c r="M316" s="3" t="str">
        <f>IF(I316="Billy Wilder", "Must Watch", IF(I316="John Ford", "Watch", "Maybe"))</f>
        <v>Maybe</v>
      </c>
    </row>
    <row r="317" spans="1:13" x14ac:dyDescent="0.25">
      <c r="A317">
        <v>316</v>
      </c>
      <c r="B317" t="s">
        <v>1019</v>
      </c>
      <c r="C317">
        <v>-1954</v>
      </c>
      <c r="D317" t="s">
        <v>155</v>
      </c>
      <c r="E317" t="s">
        <v>409</v>
      </c>
      <c r="F317" t="s">
        <v>144</v>
      </c>
      <c r="G317">
        <v>8.1</v>
      </c>
      <c r="H317">
        <v>91</v>
      </c>
      <c r="I317" t="s">
        <v>1020</v>
      </c>
      <c r="J317" s="3">
        <v>153402</v>
      </c>
      <c r="K317" t="s">
        <v>1021</v>
      </c>
      <c r="M317" s="3" t="str">
        <f>IF(I317="Billy Wilder", "Must Watch", IF(I317="John Ford", "Watch", "Maybe"))</f>
        <v>Maybe</v>
      </c>
    </row>
    <row r="318" spans="1:13" x14ac:dyDescent="0.25">
      <c r="A318">
        <v>317</v>
      </c>
      <c r="B318" t="s">
        <v>1022</v>
      </c>
      <c r="C318">
        <v>-1955</v>
      </c>
      <c r="D318" t="s">
        <v>24</v>
      </c>
      <c r="E318" t="s">
        <v>232</v>
      </c>
      <c r="F318" t="s">
        <v>1023</v>
      </c>
      <c r="G318">
        <v>8.1</v>
      </c>
      <c r="I318" t="s">
        <v>689</v>
      </c>
      <c r="J318" s="3">
        <v>65491</v>
      </c>
      <c r="K318" t="s">
        <v>1024</v>
      </c>
      <c r="M318" s="3" t="str">
        <f>IF(I318="Billy Wilder", "Must Watch", IF(I318="John Ford", "Watch", "Maybe"))</f>
        <v>Maybe</v>
      </c>
    </row>
    <row r="319" spans="1:13" x14ac:dyDescent="0.25">
      <c r="A319">
        <v>318</v>
      </c>
      <c r="B319" t="s">
        <v>1025</v>
      </c>
      <c r="C319">
        <v>-1951</v>
      </c>
      <c r="D319" t="s">
        <v>155</v>
      </c>
      <c r="E319" t="s">
        <v>610</v>
      </c>
      <c r="F319" t="s">
        <v>364</v>
      </c>
      <c r="G319">
        <v>8.1</v>
      </c>
      <c r="H319">
        <v>72</v>
      </c>
      <c r="I319" t="s">
        <v>360</v>
      </c>
      <c r="J319" s="3">
        <v>35571</v>
      </c>
      <c r="K319" t="s">
        <v>1026</v>
      </c>
      <c r="M319" s="3" t="str">
        <f>IF(I319="Billy Wilder", "Must Watch", IF(I319="John Ford", "Watch", "Maybe"))</f>
        <v>Must Watch</v>
      </c>
    </row>
    <row r="320" spans="1:13" x14ac:dyDescent="0.25">
      <c r="A320">
        <v>319</v>
      </c>
      <c r="B320" t="s">
        <v>1027</v>
      </c>
      <c r="C320">
        <v>-1949</v>
      </c>
      <c r="D320" t="s">
        <v>155</v>
      </c>
      <c r="E320" t="s">
        <v>655</v>
      </c>
      <c r="F320" t="s">
        <v>32</v>
      </c>
      <c r="G320">
        <v>8.1</v>
      </c>
      <c r="I320" t="s">
        <v>1028</v>
      </c>
      <c r="J320" s="3">
        <v>32708</v>
      </c>
      <c r="M320" s="3" t="str">
        <f>IF(I320="Billy Wilder", "Must Watch", IF(I320="John Ford", "Watch", "Maybe"))</f>
        <v>Maybe</v>
      </c>
    </row>
    <row r="321" spans="1:13" x14ac:dyDescent="0.25">
      <c r="A321">
        <v>320</v>
      </c>
      <c r="B321" t="s">
        <v>1029</v>
      </c>
      <c r="C321">
        <v>-1949</v>
      </c>
      <c r="D321" t="s">
        <v>155</v>
      </c>
      <c r="E321" t="s">
        <v>418</v>
      </c>
      <c r="F321" t="s">
        <v>1030</v>
      </c>
      <c r="G321">
        <v>8.1</v>
      </c>
      <c r="H321">
        <v>97</v>
      </c>
      <c r="I321" t="s">
        <v>1031</v>
      </c>
      <c r="J321" s="3">
        <v>170010</v>
      </c>
      <c r="K321" t="s">
        <v>1032</v>
      </c>
      <c r="M321" s="3" t="str">
        <f>IF(I321="Billy Wilder", "Must Watch", IF(I321="John Ford", "Watch", "Maybe"))</f>
        <v>Maybe</v>
      </c>
    </row>
    <row r="322" spans="1:13" x14ac:dyDescent="0.25">
      <c r="A322">
        <v>321</v>
      </c>
      <c r="B322" t="s">
        <v>1033</v>
      </c>
      <c r="C322">
        <v>-1948</v>
      </c>
      <c r="D322" t="s">
        <v>49</v>
      </c>
      <c r="E322" t="s">
        <v>309</v>
      </c>
      <c r="F322" t="s">
        <v>921</v>
      </c>
      <c r="G322">
        <v>8.1</v>
      </c>
      <c r="I322" t="s">
        <v>1034</v>
      </c>
      <c r="J322" s="3">
        <v>34698</v>
      </c>
      <c r="K322" t="s">
        <v>1035</v>
      </c>
      <c r="M322" s="3" t="str">
        <f>IF(I322="Billy Wilder", "Must Watch", IF(I322="John Ford", "Watch", "Maybe"))</f>
        <v>Maybe</v>
      </c>
    </row>
    <row r="323" spans="1:13" x14ac:dyDescent="0.25">
      <c r="A323">
        <v>322</v>
      </c>
      <c r="B323" t="s">
        <v>1036</v>
      </c>
      <c r="C323">
        <v>-1946</v>
      </c>
      <c r="D323" t="s">
        <v>49</v>
      </c>
      <c r="E323" t="s">
        <v>303</v>
      </c>
      <c r="F323" t="s">
        <v>250</v>
      </c>
      <c r="G323">
        <v>8.1</v>
      </c>
      <c r="H323">
        <v>93</v>
      </c>
      <c r="I323" t="s">
        <v>1006</v>
      </c>
      <c r="J323" s="3">
        <v>63578</v>
      </c>
      <c r="K323" t="s">
        <v>1037</v>
      </c>
      <c r="M323" s="3" t="str">
        <f>IF(I323="Billy Wilder", "Must Watch", IF(I323="John Ford", "Watch", "Maybe"))</f>
        <v>Maybe</v>
      </c>
    </row>
    <row r="324" spans="1:13" x14ac:dyDescent="0.25">
      <c r="A324">
        <v>323</v>
      </c>
      <c r="B324" t="s">
        <v>1038</v>
      </c>
      <c r="C324">
        <v>-1940</v>
      </c>
      <c r="D324" t="s">
        <v>49</v>
      </c>
      <c r="E324" t="s">
        <v>436</v>
      </c>
      <c r="F324" t="s">
        <v>132</v>
      </c>
      <c r="G324">
        <v>8.1</v>
      </c>
      <c r="H324">
        <v>96</v>
      </c>
      <c r="I324" t="s">
        <v>702</v>
      </c>
      <c r="J324" s="3">
        <v>32731</v>
      </c>
      <c r="K324" t="s">
        <v>1039</v>
      </c>
      <c r="M324" s="3" t="str">
        <f>IF(I324="Billy Wilder", "Must Watch", IF(I324="John Ford", "Watch", "Maybe"))</f>
        <v>Maybe</v>
      </c>
    </row>
    <row r="325" spans="1:13" x14ac:dyDescent="0.25">
      <c r="A325">
        <v>324</v>
      </c>
      <c r="B325" t="s">
        <v>1040</v>
      </c>
      <c r="C325">
        <v>-1940</v>
      </c>
      <c r="D325" t="s">
        <v>155</v>
      </c>
      <c r="E325" t="s">
        <v>108</v>
      </c>
      <c r="F325" t="s">
        <v>1041</v>
      </c>
      <c r="G325">
        <v>8.1</v>
      </c>
      <c r="H325">
        <v>86</v>
      </c>
      <c r="I325" t="s">
        <v>243</v>
      </c>
      <c r="J325" s="3">
        <v>135688</v>
      </c>
      <c r="K325" t="s">
        <v>52</v>
      </c>
      <c r="M325" s="3" t="str">
        <f>IF(I325="Billy Wilder", "Must Watch", IF(I325="John Ford", "Watch", "Maybe"))</f>
        <v>Maybe</v>
      </c>
    </row>
    <row r="326" spans="1:13" x14ac:dyDescent="0.25">
      <c r="A326">
        <v>325</v>
      </c>
      <c r="B326" t="s">
        <v>1042</v>
      </c>
      <c r="C326">
        <v>-1940</v>
      </c>
      <c r="D326" t="s">
        <v>155</v>
      </c>
      <c r="E326" t="s">
        <v>452</v>
      </c>
      <c r="F326" t="s">
        <v>20</v>
      </c>
      <c r="G326">
        <v>8.1</v>
      </c>
      <c r="H326">
        <v>96</v>
      </c>
      <c r="I326" t="s">
        <v>998</v>
      </c>
      <c r="J326" s="3">
        <v>92191</v>
      </c>
      <c r="K326" t="s">
        <v>488</v>
      </c>
      <c r="M326" s="3" t="str">
        <f>IF(I326="Billy Wilder", "Must Watch", IF(I326="John Ford", "Watch", "Maybe"))</f>
        <v>Watch</v>
      </c>
    </row>
    <row r="327" spans="1:13" x14ac:dyDescent="0.25">
      <c r="A327">
        <v>326</v>
      </c>
      <c r="B327" t="s">
        <v>1043</v>
      </c>
      <c r="C327">
        <v>-1939</v>
      </c>
      <c r="D327" t="s">
        <v>155</v>
      </c>
      <c r="E327" t="s">
        <v>249</v>
      </c>
      <c r="F327" t="s">
        <v>1044</v>
      </c>
      <c r="G327">
        <v>8.1</v>
      </c>
      <c r="H327">
        <v>92</v>
      </c>
      <c r="I327" t="s">
        <v>705</v>
      </c>
      <c r="J327" s="3">
        <v>392494</v>
      </c>
      <c r="K327" t="s">
        <v>1045</v>
      </c>
      <c r="M327" s="3" t="str">
        <f>IF(I327="Billy Wilder", "Must Watch", IF(I327="John Ford", "Watch", "Maybe"))</f>
        <v>Maybe</v>
      </c>
    </row>
    <row r="328" spans="1:13" x14ac:dyDescent="0.25">
      <c r="A328">
        <v>327</v>
      </c>
      <c r="B328" t="s">
        <v>1046</v>
      </c>
      <c r="C328">
        <v>-1939</v>
      </c>
      <c r="D328" t="s">
        <v>49</v>
      </c>
      <c r="E328" t="s">
        <v>452</v>
      </c>
      <c r="F328" t="s">
        <v>304</v>
      </c>
      <c r="G328">
        <v>8.1</v>
      </c>
      <c r="H328">
        <v>73</v>
      </c>
      <c r="I328" t="s">
        <v>161</v>
      </c>
      <c r="J328" s="3">
        <v>114695</v>
      </c>
      <c r="K328" t="s">
        <v>1021</v>
      </c>
      <c r="M328" s="3" t="str">
        <f>IF(I328="Billy Wilder", "Must Watch", IF(I328="John Ford", "Watch", "Maybe"))</f>
        <v>Maybe</v>
      </c>
    </row>
    <row r="329" spans="1:13" x14ac:dyDescent="0.25">
      <c r="A329">
        <v>328</v>
      </c>
      <c r="B329" t="s">
        <v>1047</v>
      </c>
      <c r="C329">
        <v>-1937</v>
      </c>
      <c r="D329" t="s">
        <v>49</v>
      </c>
      <c r="E329" t="s">
        <v>325</v>
      </c>
      <c r="F329" t="s">
        <v>124</v>
      </c>
      <c r="G329">
        <v>8.1</v>
      </c>
      <c r="I329" t="s">
        <v>1048</v>
      </c>
      <c r="J329" s="3">
        <v>36438</v>
      </c>
      <c r="K329" t="s">
        <v>904</v>
      </c>
      <c r="M329" s="3" t="str">
        <f>IF(I329="Billy Wilder", "Must Watch", IF(I329="John Ford", "Watch", "Maybe"))</f>
        <v>Maybe</v>
      </c>
    </row>
    <row r="330" spans="1:13" x14ac:dyDescent="0.25">
      <c r="A330">
        <v>329</v>
      </c>
      <c r="B330" t="s">
        <v>1049</v>
      </c>
      <c r="C330">
        <v>-1934</v>
      </c>
      <c r="D330" t="s">
        <v>155</v>
      </c>
      <c r="E330" t="s">
        <v>291</v>
      </c>
      <c r="F330" t="s">
        <v>414</v>
      </c>
      <c r="G330">
        <v>8.1</v>
      </c>
      <c r="H330">
        <v>87</v>
      </c>
      <c r="I330" t="s">
        <v>161</v>
      </c>
      <c r="J330" s="3">
        <v>102808</v>
      </c>
      <c r="K330" t="s">
        <v>52</v>
      </c>
      <c r="M330" s="3" t="str">
        <f>IF(I330="Billy Wilder", "Must Watch", IF(I330="John Ford", "Watch", "Maybe"))</f>
        <v>Maybe</v>
      </c>
    </row>
    <row r="331" spans="1:13" x14ac:dyDescent="0.25">
      <c r="A331">
        <v>330</v>
      </c>
      <c r="B331" t="s">
        <v>1050</v>
      </c>
      <c r="C331">
        <v>-1930</v>
      </c>
      <c r="D331" t="s">
        <v>74</v>
      </c>
      <c r="E331" t="s">
        <v>31</v>
      </c>
      <c r="F331" t="s">
        <v>124</v>
      </c>
      <c r="G331">
        <v>8.1</v>
      </c>
      <c r="H331">
        <v>91</v>
      </c>
      <c r="I331" t="s">
        <v>1051</v>
      </c>
      <c r="J331" s="3">
        <v>61054</v>
      </c>
      <c r="K331" t="s">
        <v>1052</v>
      </c>
      <c r="M331" s="3" t="str">
        <f>IF(I331="Billy Wilder", "Must Watch", IF(I331="John Ford", "Watch", "Maybe"))</f>
        <v>Maybe</v>
      </c>
    </row>
    <row r="332" spans="1:13" x14ac:dyDescent="0.25">
      <c r="A332">
        <v>331</v>
      </c>
      <c r="B332" t="s">
        <v>1053</v>
      </c>
      <c r="C332">
        <v>-1928</v>
      </c>
      <c r="D332" t="s">
        <v>49</v>
      </c>
      <c r="E332" t="s">
        <v>1054</v>
      </c>
      <c r="F332" t="s">
        <v>1055</v>
      </c>
      <c r="G332">
        <v>8.1</v>
      </c>
      <c r="H332">
        <v>90</v>
      </c>
      <c r="I332" t="s">
        <v>255</v>
      </c>
      <c r="J332" s="3">
        <v>33479</v>
      </c>
      <c r="M332" s="3" t="str">
        <f>IF(I332="Billy Wilder", "Must Watch", IF(I332="John Ford", "Watch", "Maybe"))</f>
        <v>Maybe</v>
      </c>
    </row>
    <row r="333" spans="1:13" x14ac:dyDescent="0.25">
      <c r="A333">
        <v>332</v>
      </c>
      <c r="B333" t="s">
        <v>1056</v>
      </c>
      <c r="C333">
        <v>-1927</v>
      </c>
      <c r="D333" t="s">
        <v>155</v>
      </c>
      <c r="E333" t="s">
        <v>1057</v>
      </c>
      <c r="F333" t="s">
        <v>78</v>
      </c>
      <c r="G333">
        <v>8.1</v>
      </c>
      <c r="I333" t="s">
        <v>1058</v>
      </c>
      <c r="J333" s="3">
        <v>50745</v>
      </c>
      <c r="K333" t="s">
        <v>482</v>
      </c>
      <c r="M333" s="3" t="str">
        <f>IF(I333="Billy Wilder", "Must Watch", IF(I333="John Ford", "Watch", "Maybe"))</f>
        <v>Maybe</v>
      </c>
    </row>
    <row r="334" spans="1:13" x14ac:dyDescent="0.25">
      <c r="A334">
        <v>333</v>
      </c>
      <c r="B334" t="s">
        <v>1059</v>
      </c>
      <c r="C334">
        <v>-2018</v>
      </c>
      <c r="D334" t="s">
        <v>30</v>
      </c>
      <c r="E334" t="s">
        <v>99</v>
      </c>
      <c r="F334" t="s">
        <v>304</v>
      </c>
      <c r="G334">
        <v>8</v>
      </c>
      <c r="I334" t="s">
        <v>1060</v>
      </c>
      <c r="J334" s="3">
        <v>33849</v>
      </c>
      <c r="M334" s="3" t="str">
        <f>IF(I334="Billy Wilder", "Must Watch", IF(I334="John Ford", "Watch", "Maybe"))</f>
        <v>Maybe</v>
      </c>
    </row>
    <row r="335" spans="1:13" x14ac:dyDescent="0.25">
      <c r="A335">
        <v>334</v>
      </c>
      <c r="B335" t="s">
        <v>1061</v>
      </c>
      <c r="C335">
        <v>-2020</v>
      </c>
      <c r="D335" t="s">
        <v>74</v>
      </c>
      <c r="E335" t="s">
        <v>403</v>
      </c>
      <c r="F335" t="s">
        <v>120</v>
      </c>
      <c r="G335">
        <v>8</v>
      </c>
      <c r="H335">
        <v>87</v>
      </c>
      <c r="I335" t="s">
        <v>1062</v>
      </c>
      <c r="J335" s="3">
        <v>30951</v>
      </c>
      <c r="M335" s="3" t="str">
        <f>IF(I335="Billy Wilder", "Must Watch", IF(I335="John Ford", "Watch", "Maybe"))</f>
        <v>Maybe</v>
      </c>
    </row>
    <row r="336" spans="1:13" x14ac:dyDescent="0.25">
      <c r="A336">
        <v>335</v>
      </c>
      <c r="B336" t="s">
        <v>1063</v>
      </c>
      <c r="C336">
        <v>-2016</v>
      </c>
      <c r="D336">
        <v>15</v>
      </c>
      <c r="E336" t="s">
        <v>171</v>
      </c>
      <c r="F336" t="s">
        <v>56</v>
      </c>
      <c r="G336">
        <v>8</v>
      </c>
      <c r="I336" t="s">
        <v>1064</v>
      </c>
      <c r="J336" s="3">
        <v>172096</v>
      </c>
      <c r="M336" s="3" t="str">
        <f>IF(I336="Billy Wilder", "Must Watch", IF(I336="John Ford", "Watch", "Maybe"))</f>
        <v>Maybe</v>
      </c>
    </row>
    <row r="337" spans="1:13" x14ac:dyDescent="0.25">
      <c r="A337">
        <v>336</v>
      </c>
      <c r="B337" t="s">
        <v>1065</v>
      </c>
      <c r="C337">
        <v>-2016</v>
      </c>
      <c r="D337" t="s">
        <v>30</v>
      </c>
      <c r="E337" t="s">
        <v>477</v>
      </c>
      <c r="F337" t="s">
        <v>1066</v>
      </c>
      <c r="G337">
        <v>8</v>
      </c>
      <c r="H337">
        <v>94</v>
      </c>
      <c r="I337" t="s">
        <v>173</v>
      </c>
      <c r="J337" s="3">
        <v>569293</v>
      </c>
      <c r="K337" t="s">
        <v>1067</v>
      </c>
      <c r="M337" s="3" t="str">
        <f>IF(I337="Billy Wilder", "Must Watch", IF(I337="John Ford", "Watch", "Maybe"))</f>
        <v>Maybe</v>
      </c>
    </row>
    <row r="338" spans="1:13" x14ac:dyDescent="0.25">
      <c r="A338">
        <v>337</v>
      </c>
      <c r="B338" t="s">
        <v>1068</v>
      </c>
      <c r="C338">
        <v>-2016</v>
      </c>
      <c r="D338" t="s">
        <v>74</v>
      </c>
      <c r="E338" t="s">
        <v>143</v>
      </c>
      <c r="F338" t="s">
        <v>606</v>
      </c>
      <c r="G338">
        <v>8</v>
      </c>
      <c r="H338">
        <v>69</v>
      </c>
      <c r="I338" t="s">
        <v>1069</v>
      </c>
      <c r="J338" s="3">
        <v>233400</v>
      </c>
      <c r="K338" t="s">
        <v>1070</v>
      </c>
      <c r="M338" s="3" t="str">
        <f>IF(I338="Billy Wilder", "Must Watch", IF(I338="John Ford", "Watch", "Maybe"))</f>
        <v>Maybe</v>
      </c>
    </row>
    <row r="339" spans="1:13" x14ac:dyDescent="0.25">
      <c r="A339">
        <v>338</v>
      </c>
      <c r="B339" t="s">
        <v>1071</v>
      </c>
      <c r="C339">
        <v>-2015</v>
      </c>
      <c r="D339" t="s">
        <v>30</v>
      </c>
      <c r="E339" t="s">
        <v>1072</v>
      </c>
      <c r="F339" t="s">
        <v>113</v>
      </c>
      <c r="G339">
        <v>8</v>
      </c>
      <c r="H339">
        <v>80</v>
      </c>
      <c r="I339" t="s">
        <v>199</v>
      </c>
      <c r="J339" s="3">
        <v>833166</v>
      </c>
      <c r="K339" t="s">
        <v>1073</v>
      </c>
      <c r="M339" s="3" t="str">
        <f>IF(I339="Billy Wilder", "Must Watch", IF(I339="John Ford", "Watch", "Maybe"))</f>
        <v>Maybe</v>
      </c>
    </row>
    <row r="340" spans="1:13" x14ac:dyDescent="0.25">
      <c r="A340">
        <v>339</v>
      </c>
      <c r="B340" t="s">
        <v>1074</v>
      </c>
      <c r="C340" t="s">
        <v>1075</v>
      </c>
      <c r="D340">
        <v>15</v>
      </c>
      <c r="E340" t="s">
        <v>70</v>
      </c>
      <c r="F340" t="s">
        <v>20</v>
      </c>
      <c r="G340">
        <v>8</v>
      </c>
      <c r="H340">
        <v>74</v>
      </c>
      <c r="I340" t="s">
        <v>1076</v>
      </c>
      <c r="J340" s="3">
        <v>56318</v>
      </c>
      <c r="K340" t="s">
        <v>1077</v>
      </c>
      <c r="M340" s="3" t="str">
        <f>IF(I340="Billy Wilder", "Must Watch", IF(I340="John Ford", "Watch", "Maybe"))</f>
        <v>Maybe</v>
      </c>
    </row>
    <row r="341" spans="1:13" x14ac:dyDescent="0.25">
      <c r="A341">
        <v>340</v>
      </c>
      <c r="B341" t="s">
        <v>1078</v>
      </c>
      <c r="C341">
        <v>-2020</v>
      </c>
      <c r="D341" t="s">
        <v>74</v>
      </c>
      <c r="E341" t="s">
        <v>613</v>
      </c>
      <c r="F341" t="s">
        <v>292</v>
      </c>
      <c r="G341">
        <v>8</v>
      </c>
      <c r="H341">
        <v>83</v>
      </c>
      <c r="I341" t="s">
        <v>396</v>
      </c>
      <c r="J341" s="3">
        <v>313280</v>
      </c>
      <c r="M341" s="3" t="str">
        <f>IF(I341="Billy Wilder", "Must Watch", IF(I341="John Ford", "Watch", "Maybe"))</f>
        <v>Maybe</v>
      </c>
    </row>
    <row r="342" spans="1:13" x14ac:dyDescent="0.25">
      <c r="A342">
        <v>341</v>
      </c>
      <c r="B342" t="s">
        <v>1079</v>
      </c>
      <c r="C342">
        <v>-2016</v>
      </c>
      <c r="D342" t="s">
        <v>74</v>
      </c>
      <c r="E342" t="s">
        <v>409</v>
      </c>
      <c r="F342" t="s">
        <v>292</v>
      </c>
      <c r="G342">
        <v>8</v>
      </c>
      <c r="H342">
        <v>78</v>
      </c>
      <c r="I342" t="s">
        <v>1080</v>
      </c>
      <c r="J342" s="3">
        <v>485575</v>
      </c>
      <c r="K342" t="s">
        <v>1081</v>
      </c>
      <c r="M342" s="3" t="str">
        <f>IF(I342="Billy Wilder", "Must Watch", IF(I342="John Ford", "Watch", "Maybe"))</f>
        <v>Maybe</v>
      </c>
    </row>
    <row r="343" spans="1:13" x14ac:dyDescent="0.25">
      <c r="A343">
        <v>342</v>
      </c>
      <c r="B343" t="s">
        <v>1082</v>
      </c>
      <c r="C343">
        <v>-2014</v>
      </c>
      <c r="D343">
        <v>15</v>
      </c>
      <c r="E343" t="s">
        <v>1083</v>
      </c>
      <c r="F343" t="s">
        <v>20</v>
      </c>
      <c r="G343">
        <v>8</v>
      </c>
      <c r="H343">
        <v>88</v>
      </c>
      <c r="I343" t="s">
        <v>1084</v>
      </c>
      <c r="J343" s="3">
        <v>51309</v>
      </c>
      <c r="K343" t="s">
        <v>904</v>
      </c>
      <c r="M343" s="3" t="str">
        <f>IF(I343="Billy Wilder", "Must Watch", IF(I343="John Ford", "Watch", "Maybe"))</f>
        <v>Maybe</v>
      </c>
    </row>
    <row r="344" spans="1:13" x14ac:dyDescent="0.25">
      <c r="A344">
        <v>343</v>
      </c>
      <c r="B344" t="s">
        <v>1085</v>
      </c>
      <c r="C344">
        <v>-2015</v>
      </c>
      <c r="D344">
        <v>15</v>
      </c>
      <c r="E344" t="s">
        <v>1086</v>
      </c>
      <c r="F344" t="s">
        <v>109</v>
      </c>
      <c r="G344">
        <v>8</v>
      </c>
      <c r="I344" t="s">
        <v>535</v>
      </c>
      <c r="J344" s="3">
        <v>119177</v>
      </c>
      <c r="K344" t="s">
        <v>1087</v>
      </c>
      <c r="M344" s="3" t="str">
        <f>IF(I344="Billy Wilder", "Must Watch", IF(I344="John Ford", "Watch", "Maybe"))</f>
        <v>Maybe</v>
      </c>
    </row>
    <row r="345" spans="1:13" x14ac:dyDescent="0.25">
      <c r="A345">
        <v>344</v>
      </c>
      <c r="B345" t="s">
        <v>1088</v>
      </c>
      <c r="C345">
        <v>-2013</v>
      </c>
      <c r="D345" t="s">
        <v>49</v>
      </c>
      <c r="E345" t="s">
        <v>139</v>
      </c>
      <c r="F345" t="s">
        <v>779</v>
      </c>
      <c r="G345">
        <v>8</v>
      </c>
      <c r="H345">
        <v>89</v>
      </c>
      <c r="I345" t="s">
        <v>223</v>
      </c>
      <c r="J345" s="3">
        <v>45686</v>
      </c>
      <c r="K345" t="s">
        <v>1089</v>
      </c>
      <c r="M345" s="3" t="str">
        <f>IF(I345="Billy Wilder", "Must Watch", IF(I345="John Ford", "Watch", "Maybe"))</f>
        <v>Maybe</v>
      </c>
    </row>
    <row r="346" spans="1:13" x14ac:dyDescent="0.25">
      <c r="A346">
        <v>345</v>
      </c>
      <c r="B346" t="s">
        <v>1090</v>
      </c>
      <c r="C346">
        <v>-2013</v>
      </c>
      <c r="D346" t="s">
        <v>74</v>
      </c>
      <c r="E346" t="s">
        <v>1072</v>
      </c>
      <c r="F346" t="s">
        <v>144</v>
      </c>
      <c r="G346">
        <v>8</v>
      </c>
      <c r="I346" t="s">
        <v>815</v>
      </c>
      <c r="J346" s="3">
        <v>55814</v>
      </c>
      <c r="K346" t="s">
        <v>1091</v>
      </c>
      <c r="M346" s="3" t="str">
        <f>IF(I346="Billy Wilder", "Must Watch", IF(I346="John Ford", "Watch", "Maybe"))</f>
        <v>Maybe</v>
      </c>
    </row>
    <row r="347" spans="1:13" x14ac:dyDescent="0.25">
      <c r="A347">
        <v>346</v>
      </c>
      <c r="B347" t="s">
        <v>1092</v>
      </c>
      <c r="C347">
        <v>-2014</v>
      </c>
      <c r="D347" t="s">
        <v>30</v>
      </c>
      <c r="E347" t="s">
        <v>655</v>
      </c>
      <c r="F347" t="s">
        <v>1093</v>
      </c>
      <c r="G347">
        <v>8</v>
      </c>
      <c r="H347">
        <v>71</v>
      </c>
      <c r="I347" t="s">
        <v>1094</v>
      </c>
      <c r="J347" s="3">
        <v>753663</v>
      </c>
      <c r="K347" t="s">
        <v>1095</v>
      </c>
      <c r="M347" s="3" t="str">
        <f>IF(I347="Billy Wilder", "Must Watch", IF(I347="John Ford", "Watch", "Maybe"))</f>
        <v>Maybe</v>
      </c>
    </row>
    <row r="348" spans="1:13" x14ac:dyDescent="0.25">
      <c r="A348">
        <v>347</v>
      </c>
      <c r="B348" t="s">
        <v>1096</v>
      </c>
      <c r="C348">
        <v>-2014</v>
      </c>
      <c r="D348" t="s">
        <v>30</v>
      </c>
      <c r="E348" t="s">
        <v>148</v>
      </c>
      <c r="F348" t="s">
        <v>371</v>
      </c>
      <c r="G348">
        <v>8</v>
      </c>
      <c r="H348">
        <v>76</v>
      </c>
      <c r="I348" t="s">
        <v>1097</v>
      </c>
      <c r="J348" s="3">
        <v>1147756</v>
      </c>
      <c r="K348" t="s">
        <v>1098</v>
      </c>
      <c r="M348" s="3" t="str">
        <f>IF(I348="Billy Wilder", "Must Watch", IF(I348="John Ford", "Watch", "Maybe"))</f>
        <v>Maybe</v>
      </c>
    </row>
    <row r="349" spans="1:13" x14ac:dyDescent="0.25">
      <c r="A349">
        <v>348</v>
      </c>
      <c r="B349" t="s">
        <v>1099</v>
      </c>
      <c r="C349">
        <v>-2014</v>
      </c>
      <c r="D349" t="s">
        <v>74</v>
      </c>
      <c r="E349" t="s">
        <v>823</v>
      </c>
      <c r="F349" t="s">
        <v>214</v>
      </c>
      <c r="G349">
        <v>8</v>
      </c>
      <c r="H349">
        <v>85</v>
      </c>
      <c r="I349" t="s">
        <v>1062</v>
      </c>
      <c r="J349" s="3">
        <v>57705</v>
      </c>
      <c r="K349" t="s">
        <v>1100</v>
      </c>
      <c r="M349" s="3" t="str">
        <f>IF(I349="Billy Wilder", "Must Watch", IF(I349="John Ford", "Watch", "Maybe"))</f>
        <v>Maybe</v>
      </c>
    </row>
    <row r="350" spans="1:13" x14ac:dyDescent="0.25">
      <c r="A350">
        <v>349</v>
      </c>
      <c r="B350" t="s">
        <v>1101</v>
      </c>
      <c r="C350">
        <v>-2017</v>
      </c>
      <c r="D350">
        <v>15</v>
      </c>
      <c r="E350" t="s">
        <v>55</v>
      </c>
      <c r="F350" t="s">
        <v>152</v>
      </c>
      <c r="G350">
        <v>8</v>
      </c>
      <c r="H350">
        <v>81</v>
      </c>
      <c r="I350" t="s">
        <v>390</v>
      </c>
      <c r="J350" s="3">
        <v>546231</v>
      </c>
      <c r="K350" t="s">
        <v>1102</v>
      </c>
      <c r="M350" s="3" t="str">
        <f>IF(I350="Billy Wilder", "Must Watch", IF(I350="John Ford", "Watch", "Maybe"))</f>
        <v>Maybe</v>
      </c>
    </row>
    <row r="351" spans="1:13" x14ac:dyDescent="0.25">
      <c r="A351">
        <v>350</v>
      </c>
      <c r="B351" t="s">
        <v>1103</v>
      </c>
      <c r="C351">
        <v>-2013</v>
      </c>
      <c r="D351">
        <v>15</v>
      </c>
      <c r="E351" t="s">
        <v>263</v>
      </c>
      <c r="F351" t="s">
        <v>410</v>
      </c>
      <c r="G351">
        <v>8</v>
      </c>
      <c r="H351">
        <v>91</v>
      </c>
      <c r="I351" t="s">
        <v>1104</v>
      </c>
      <c r="J351" s="3">
        <v>597377</v>
      </c>
      <c r="K351" t="s">
        <v>1105</v>
      </c>
      <c r="M351" s="3" t="str">
        <f>IF(I351="Billy Wilder", "Must Watch", IF(I351="John Ford", "Watch", "Maybe"))</f>
        <v>Maybe</v>
      </c>
    </row>
    <row r="352" spans="1:13" x14ac:dyDescent="0.25">
      <c r="A352">
        <v>351</v>
      </c>
      <c r="B352" t="s">
        <v>1106</v>
      </c>
      <c r="C352">
        <v>-2015</v>
      </c>
      <c r="D352">
        <v>15</v>
      </c>
      <c r="E352" t="s">
        <v>527</v>
      </c>
      <c r="F352" t="s">
        <v>37</v>
      </c>
      <c r="G352">
        <v>8</v>
      </c>
      <c r="H352">
        <v>76</v>
      </c>
      <c r="I352" t="s">
        <v>875</v>
      </c>
      <c r="J352" s="3">
        <v>783068</v>
      </c>
      <c r="K352" t="s">
        <v>1107</v>
      </c>
      <c r="M352" s="3" t="str">
        <f>IF(I352="Billy Wilder", "Must Watch", IF(I352="John Ford", "Watch", "Maybe"))</f>
        <v>Maybe</v>
      </c>
    </row>
    <row r="353" spans="1:13" x14ac:dyDescent="0.25">
      <c r="A353">
        <v>352</v>
      </c>
      <c r="B353" t="s">
        <v>1108</v>
      </c>
      <c r="C353">
        <v>-2012</v>
      </c>
      <c r="D353" t="s">
        <v>30</v>
      </c>
      <c r="E353" t="s">
        <v>403</v>
      </c>
      <c r="F353" t="s">
        <v>78</v>
      </c>
      <c r="G353">
        <v>8</v>
      </c>
      <c r="H353">
        <v>67</v>
      </c>
      <c r="I353" t="s">
        <v>1109</v>
      </c>
      <c r="J353" s="3">
        <v>501180</v>
      </c>
      <c r="K353" t="s">
        <v>1110</v>
      </c>
      <c r="M353" s="3" t="str">
        <f>IF(I353="Billy Wilder", "Must Watch", IF(I353="John Ford", "Watch", "Maybe"))</f>
        <v>Maybe</v>
      </c>
    </row>
    <row r="354" spans="1:13" x14ac:dyDescent="0.25">
      <c r="A354">
        <v>353</v>
      </c>
      <c r="B354" t="s">
        <v>1111</v>
      </c>
      <c r="C354">
        <v>-2010</v>
      </c>
      <c r="D354">
        <v>18</v>
      </c>
      <c r="E354" t="s">
        <v>342</v>
      </c>
      <c r="F354" t="s">
        <v>32</v>
      </c>
      <c r="G354">
        <v>8</v>
      </c>
      <c r="H354">
        <v>71</v>
      </c>
      <c r="I354" t="s">
        <v>1112</v>
      </c>
      <c r="J354" s="3">
        <v>82697</v>
      </c>
      <c r="K354" t="s">
        <v>693</v>
      </c>
      <c r="M354" s="3" t="str">
        <f>IF(I354="Billy Wilder", "Must Watch", IF(I354="John Ford", "Watch", "Maybe"))</f>
        <v>Maybe</v>
      </c>
    </row>
    <row r="355" spans="1:13" x14ac:dyDescent="0.25">
      <c r="A355">
        <v>354</v>
      </c>
      <c r="B355" t="s">
        <v>1113</v>
      </c>
      <c r="C355">
        <v>-2010</v>
      </c>
      <c r="D355">
        <v>15</v>
      </c>
      <c r="E355" t="s">
        <v>143</v>
      </c>
      <c r="F355" t="s">
        <v>42</v>
      </c>
      <c r="G355">
        <v>8</v>
      </c>
      <c r="H355">
        <v>88</v>
      </c>
      <c r="I355" t="s">
        <v>1114</v>
      </c>
      <c r="J355" s="3">
        <v>673210</v>
      </c>
      <c r="K355" t="s">
        <v>1115</v>
      </c>
      <c r="M355" s="3" t="str">
        <f>IF(I355="Billy Wilder", "Must Watch", IF(I355="John Ford", "Watch", "Maybe"))</f>
        <v>Maybe</v>
      </c>
    </row>
    <row r="356" spans="1:13" x14ac:dyDescent="0.25">
      <c r="A356">
        <v>355</v>
      </c>
      <c r="B356" t="s">
        <v>1116</v>
      </c>
      <c r="C356">
        <v>-2016</v>
      </c>
      <c r="D356">
        <v>15</v>
      </c>
      <c r="E356" t="s">
        <v>409</v>
      </c>
      <c r="F356" t="s">
        <v>371</v>
      </c>
      <c r="G356">
        <v>8</v>
      </c>
      <c r="H356">
        <v>65</v>
      </c>
      <c r="I356" t="s">
        <v>1117</v>
      </c>
      <c r="J356" s="3">
        <v>1004679</v>
      </c>
      <c r="K356" t="s">
        <v>1118</v>
      </c>
      <c r="M356" s="3" t="str">
        <f>IF(I356="Billy Wilder", "Must Watch", IF(I356="John Ford", "Watch", "Maybe"))</f>
        <v>Maybe</v>
      </c>
    </row>
    <row r="357" spans="1:13" x14ac:dyDescent="0.25">
      <c r="A357">
        <v>356</v>
      </c>
      <c r="B357" t="s">
        <v>1119</v>
      </c>
      <c r="C357">
        <v>-2021</v>
      </c>
      <c r="D357">
        <v>15</v>
      </c>
      <c r="E357" t="s">
        <v>1120</v>
      </c>
      <c r="F357" t="s">
        <v>100</v>
      </c>
      <c r="G357">
        <v>8</v>
      </c>
      <c r="H357">
        <v>54</v>
      </c>
      <c r="I357" t="s">
        <v>1121</v>
      </c>
      <c r="J357" s="3">
        <v>381767</v>
      </c>
      <c r="M357" s="3" t="str">
        <f>IF(I357="Billy Wilder", "Must Watch", IF(I357="John Ford", "Watch", "Maybe"))</f>
        <v>Maybe</v>
      </c>
    </row>
    <row r="358" spans="1:13" x14ac:dyDescent="0.25">
      <c r="A358">
        <v>357</v>
      </c>
      <c r="B358" t="s">
        <v>1122</v>
      </c>
      <c r="C358">
        <v>-2008</v>
      </c>
      <c r="D358">
        <v>15</v>
      </c>
      <c r="E358" t="s">
        <v>171</v>
      </c>
      <c r="F358" t="s">
        <v>310</v>
      </c>
      <c r="G358">
        <v>8</v>
      </c>
      <c r="H358">
        <v>59</v>
      </c>
      <c r="I358" t="s">
        <v>1123</v>
      </c>
      <c r="J358" s="3">
        <v>222170</v>
      </c>
      <c r="M358" s="3" t="str">
        <f>IF(I358="Billy Wilder", "Must Watch", IF(I358="John Ford", "Watch", "Maybe"))</f>
        <v>Maybe</v>
      </c>
    </row>
    <row r="359" spans="1:13" x14ac:dyDescent="0.25">
      <c r="A359">
        <v>358</v>
      </c>
      <c r="B359" t="s">
        <v>1124</v>
      </c>
      <c r="C359">
        <v>-2021</v>
      </c>
      <c r="D359" t="s">
        <v>30</v>
      </c>
      <c r="E359" t="s">
        <v>198</v>
      </c>
      <c r="F359" t="s">
        <v>37</v>
      </c>
      <c r="G359">
        <v>8</v>
      </c>
      <c r="H359">
        <v>74</v>
      </c>
      <c r="I359" t="s">
        <v>390</v>
      </c>
      <c r="J359" s="3">
        <v>584522</v>
      </c>
      <c r="K359" t="s">
        <v>1125</v>
      </c>
      <c r="M359" s="3" t="str">
        <f>IF(I359="Billy Wilder", "Must Watch", IF(I359="John Ford", "Watch", "Maybe"))</f>
        <v>Maybe</v>
      </c>
    </row>
    <row r="360" spans="1:13" x14ac:dyDescent="0.25">
      <c r="A360">
        <v>359</v>
      </c>
      <c r="B360" t="s">
        <v>1126</v>
      </c>
      <c r="C360">
        <v>-2008</v>
      </c>
      <c r="D360" t="s">
        <v>30</v>
      </c>
      <c r="E360" t="s">
        <v>108</v>
      </c>
      <c r="F360" t="s">
        <v>172</v>
      </c>
      <c r="G360">
        <v>8</v>
      </c>
      <c r="H360">
        <v>68</v>
      </c>
      <c r="I360" t="s">
        <v>1127</v>
      </c>
      <c r="J360" s="3">
        <v>51855</v>
      </c>
      <c r="K360" t="s">
        <v>1128</v>
      </c>
      <c r="M360" s="3" t="str">
        <f>IF(I360="Billy Wilder", "Must Watch", IF(I360="John Ford", "Watch", "Maybe"))</f>
        <v>Maybe</v>
      </c>
    </row>
    <row r="361" spans="1:13" x14ac:dyDescent="0.25">
      <c r="A361">
        <v>360</v>
      </c>
      <c r="B361" t="s">
        <v>1129</v>
      </c>
      <c r="C361">
        <v>-2021</v>
      </c>
      <c r="D361" t="s">
        <v>30</v>
      </c>
      <c r="E361" t="s">
        <v>610</v>
      </c>
      <c r="F361" t="s">
        <v>1066</v>
      </c>
      <c r="G361">
        <v>8</v>
      </c>
      <c r="H361">
        <v>74</v>
      </c>
      <c r="I361" t="s">
        <v>1130</v>
      </c>
      <c r="J361" s="3">
        <v>114940</v>
      </c>
      <c r="M361" s="3" t="str">
        <f>IF(I361="Billy Wilder", "Must Watch", IF(I361="John Ford", "Watch", "Maybe"))</f>
        <v>Maybe</v>
      </c>
    </row>
    <row r="362" spans="1:13" x14ac:dyDescent="0.25">
      <c r="A362">
        <v>361</v>
      </c>
      <c r="B362" t="s">
        <v>1131</v>
      </c>
      <c r="C362">
        <v>-2008</v>
      </c>
      <c r="D362">
        <v>15</v>
      </c>
      <c r="E362" t="s">
        <v>811</v>
      </c>
      <c r="F362" t="s">
        <v>1132</v>
      </c>
      <c r="G362">
        <v>8</v>
      </c>
      <c r="H362">
        <v>84</v>
      </c>
      <c r="I362" t="s">
        <v>896</v>
      </c>
      <c r="J362" s="3">
        <v>836053</v>
      </c>
      <c r="K362" t="s">
        <v>1133</v>
      </c>
      <c r="M362" s="3" t="str">
        <f>IF(I362="Billy Wilder", "Must Watch", IF(I362="John Ford", "Watch", "Maybe"))</f>
        <v>Maybe</v>
      </c>
    </row>
    <row r="363" spans="1:13" x14ac:dyDescent="0.25">
      <c r="A363">
        <v>362</v>
      </c>
      <c r="B363" t="s">
        <v>1134</v>
      </c>
      <c r="C363">
        <v>-2010</v>
      </c>
      <c r="D363">
        <v>15</v>
      </c>
      <c r="E363" t="s">
        <v>409</v>
      </c>
      <c r="F363" t="s">
        <v>756</v>
      </c>
      <c r="G363">
        <v>8</v>
      </c>
      <c r="H363">
        <v>79</v>
      </c>
      <c r="I363" t="s">
        <v>423</v>
      </c>
      <c r="J363" s="3">
        <v>750301</v>
      </c>
      <c r="K363" t="s">
        <v>1135</v>
      </c>
      <c r="M363" s="3" t="str">
        <f>IF(I363="Billy Wilder", "Must Watch", IF(I363="John Ford", "Watch", "Maybe"))</f>
        <v>Maybe</v>
      </c>
    </row>
    <row r="364" spans="1:13" x14ac:dyDescent="0.25">
      <c r="A364">
        <v>363</v>
      </c>
      <c r="B364" t="s">
        <v>1136</v>
      </c>
      <c r="C364">
        <v>-2007</v>
      </c>
      <c r="D364">
        <v>18</v>
      </c>
      <c r="E364" t="s">
        <v>342</v>
      </c>
      <c r="F364" t="s">
        <v>32</v>
      </c>
      <c r="G364">
        <v>8</v>
      </c>
      <c r="H364">
        <v>33</v>
      </c>
      <c r="I364" t="s">
        <v>1112</v>
      </c>
      <c r="J364" s="3">
        <v>103285</v>
      </c>
      <c r="K364" t="s">
        <v>684</v>
      </c>
      <c r="M364" s="3" t="str">
        <f>IF(I364="Billy Wilder", "Must Watch", IF(I364="John Ford", "Watch", "Maybe"))</f>
        <v>Maybe</v>
      </c>
    </row>
    <row r="365" spans="1:13" x14ac:dyDescent="0.25">
      <c r="A365">
        <v>364</v>
      </c>
      <c r="B365" t="s">
        <v>1137</v>
      </c>
      <c r="C365">
        <v>-2012</v>
      </c>
      <c r="D365" t="s">
        <v>30</v>
      </c>
      <c r="E365" t="s">
        <v>354</v>
      </c>
      <c r="F365" t="s">
        <v>64</v>
      </c>
      <c r="G365">
        <v>8</v>
      </c>
      <c r="H365">
        <v>69</v>
      </c>
      <c r="I365" t="s">
        <v>1138</v>
      </c>
      <c r="J365" s="3">
        <v>1361937</v>
      </c>
      <c r="K365" t="s">
        <v>1139</v>
      </c>
      <c r="M365" s="3" t="str">
        <f>IF(I365="Billy Wilder", "Must Watch", IF(I365="John Ford", "Watch", "Maybe"))</f>
        <v>Maybe</v>
      </c>
    </row>
    <row r="366" spans="1:13" x14ac:dyDescent="0.25">
      <c r="A366">
        <v>365</v>
      </c>
      <c r="B366" t="s">
        <v>1140</v>
      </c>
      <c r="C366">
        <v>-2007</v>
      </c>
      <c r="D366" t="s">
        <v>30</v>
      </c>
      <c r="E366" t="s">
        <v>50</v>
      </c>
      <c r="F366" t="s">
        <v>1141</v>
      </c>
      <c r="G366">
        <v>8</v>
      </c>
      <c r="H366">
        <v>90</v>
      </c>
      <c r="I366" t="s">
        <v>1142</v>
      </c>
      <c r="J366" s="3">
        <v>94074</v>
      </c>
      <c r="K366" t="s">
        <v>1143</v>
      </c>
      <c r="M366" s="3" t="str">
        <f>IF(I366="Billy Wilder", "Must Watch", IF(I366="John Ford", "Watch", "Maybe"))</f>
        <v>Maybe</v>
      </c>
    </row>
    <row r="367" spans="1:13" x14ac:dyDescent="0.25">
      <c r="A367">
        <v>366</v>
      </c>
      <c r="B367" t="s">
        <v>1144</v>
      </c>
      <c r="C367">
        <v>-2006</v>
      </c>
      <c r="D367" t="s">
        <v>74</v>
      </c>
      <c r="E367" t="s">
        <v>1072</v>
      </c>
      <c r="F367" t="s">
        <v>132</v>
      </c>
      <c r="G367">
        <v>8</v>
      </c>
      <c r="I367" t="s">
        <v>305</v>
      </c>
      <c r="J367" s="3">
        <v>46666</v>
      </c>
      <c r="K367" t="s">
        <v>1145</v>
      </c>
      <c r="M367" s="3" t="str">
        <f>IF(I367="Billy Wilder", "Must Watch", IF(I367="John Ford", "Watch", "Maybe"))</f>
        <v>Maybe</v>
      </c>
    </row>
    <row r="368" spans="1:13" x14ac:dyDescent="0.25">
      <c r="A368">
        <v>367</v>
      </c>
      <c r="B368" t="s">
        <v>1146</v>
      </c>
      <c r="C368">
        <v>-2006</v>
      </c>
      <c r="D368" t="s">
        <v>30</v>
      </c>
      <c r="E368" t="s">
        <v>232</v>
      </c>
      <c r="F368" t="s">
        <v>606</v>
      </c>
      <c r="G368">
        <v>8</v>
      </c>
      <c r="H368">
        <v>64</v>
      </c>
      <c r="I368" t="s">
        <v>1147</v>
      </c>
      <c r="J368" s="3">
        <v>498939</v>
      </c>
      <c r="K368" t="s">
        <v>1148</v>
      </c>
      <c r="M368" s="3" t="str">
        <f>IF(I368="Billy Wilder", "Must Watch", IF(I368="John Ford", "Watch", "Maybe"))</f>
        <v>Maybe</v>
      </c>
    </row>
    <row r="369" spans="1:13" x14ac:dyDescent="0.25">
      <c r="A369">
        <v>368</v>
      </c>
      <c r="B369" t="s">
        <v>1149</v>
      </c>
      <c r="C369">
        <v>-2006</v>
      </c>
      <c r="D369">
        <v>15</v>
      </c>
      <c r="E369" t="s">
        <v>354</v>
      </c>
      <c r="F369" t="s">
        <v>688</v>
      </c>
      <c r="G369">
        <v>8</v>
      </c>
      <c r="H369">
        <v>64</v>
      </c>
      <c r="I369" t="s">
        <v>1150</v>
      </c>
      <c r="J369" s="3">
        <v>539808</v>
      </c>
      <c r="K369" t="s">
        <v>1151</v>
      </c>
      <c r="M369" s="3" t="str">
        <f>IF(I369="Billy Wilder", "Must Watch", IF(I369="John Ford", "Watch", "Maybe"))</f>
        <v>Maybe</v>
      </c>
    </row>
    <row r="370" spans="1:13" x14ac:dyDescent="0.25">
      <c r="A370">
        <v>369</v>
      </c>
      <c r="B370" t="s">
        <v>1152</v>
      </c>
      <c r="C370">
        <v>-2007</v>
      </c>
      <c r="D370" t="s">
        <v>30</v>
      </c>
      <c r="E370" t="s">
        <v>342</v>
      </c>
      <c r="F370" t="s">
        <v>1153</v>
      </c>
      <c r="G370">
        <v>8</v>
      </c>
      <c r="H370">
        <v>85</v>
      </c>
      <c r="I370" t="s">
        <v>1154</v>
      </c>
      <c r="J370" s="3">
        <v>629222</v>
      </c>
      <c r="K370" t="s">
        <v>1155</v>
      </c>
      <c r="M370" s="3" t="str">
        <f>IF(I370="Billy Wilder", "Must Watch", IF(I370="John Ford", "Watch", "Maybe"))</f>
        <v>Maybe</v>
      </c>
    </row>
    <row r="371" spans="1:13" x14ac:dyDescent="0.25">
      <c r="A371">
        <v>370</v>
      </c>
      <c r="B371" t="s">
        <v>1156</v>
      </c>
      <c r="C371">
        <v>-2004</v>
      </c>
      <c r="D371" t="s">
        <v>30</v>
      </c>
      <c r="E371" t="s">
        <v>163</v>
      </c>
      <c r="F371" t="s">
        <v>20</v>
      </c>
      <c r="G371">
        <v>8</v>
      </c>
      <c r="H371">
        <v>88</v>
      </c>
      <c r="I371" t="s">
        <v>1157</v>
      </c>
      <c r="J371" s="3">
        <v>27732</v>
      </c>
      <c r="K371" t="s">
        <v>1158</v>
      </c>
      <c r="M371" s="3" t="str">
        <f>IF(I371="Billy Wilder", "Must Watch", IF(I371="John Ford", "Watch", "Maybe"))</f>
        <v>Maybe</v>
      </c>
    </row>
    <row r="372" spans="1:13" x14ac:dyDescent="0.25">
      <c r="A372">
        <v>371</v>
      </c>
      <c r="B372" t="s">
        <v>1159</v>
      </c>
      <c r="C372">
        <v>-2005</v>
      </c>
      <c r="D372">
        <v>18</v>
      </c>
      <c r="E372" t="s">
        <v>99</v>
      </c>
      <c r="F372" t="s">
        <v>683</v>
      </c>
      <c r="G372">
        <v>8</v>
      </c>
      <c r="H372">
        <v>74</v>
      </c>
      <c r="I372" t="s">
        <v>1160</v>
      </c>
      <c r="J372" s="3">
        <v>762072</v>
      </c>
      <c r="K372" t="s">
        <v>1161</v>
      </c>
      <c r="M372" s="3" t="str">
        <f>IF(I372="Billy Wilder", "Must Watch", IF(I372="John Ford", "Watch", "Maybe"))</f>
        <v>Maybe</v>
      </c>
    </row>
    <row r="373" spans="1:13" x14ac:dyDescent="0.25">
      <c r="A373">
        <v>372</v>
      </c>
      <c r="B373" t="s">
        <v>1162</v>
      </c>
      <c r="C373">
        <v>-2007</v>
      </c>
      <c r="D373">
        <v>12</v>
      </c>
      <c r="E373" t="s">
        <v>176</v>
      </c>
      <c r="F373" t="s">
        <v>606</v>
      </c>
      <c r="G373">
        <v>8</v>
      </c>
      <c r="H373">
        <v>92</v>
      </c>
      <c r="I373" t="s">
        <v>1163</v>
      </c>
      <c r="J373" s="3">
        <v>107326</v>
      </c>
      <c r="K373" t="s">
        <v>1164</v>
      </c>
      <c r="M373" s="3" t="str">
        <f>IF(I373="Billy Wilder", "Must Watch", IF(I373="John Ford", "Watch", "Maybe"))</f>
        <v>Maybe</v>
      </c>
    </row>
    <row r="374" spans="1:13" x14ac:dyDescent="0.25">
      <c r="A374">
        <v>373</v>
      </c>
      <c r="B374" t="s">
        <v>1165</v>
      </c>
      <c r="C374">
        <v>-2004</v>
      </c>
      <c r="D374" t="s">
        <v>1166</v>
      </c>
      <c r="E374" t="s">
        <v>561</v>
      </c>
      <c r="F374" t="s">
        <v>512</v>
      </c>
      <c r="G374">
        <v>8</v>
      </c>
      <c r="H374">
        <v>64</v>
      </c>
      <c r="I374" t="s">
        <v>1167</v>
      </c>
      <c r="J374" s="3">
        <v>39608</v>
      </c>
      <c r="K374" t="s">
        <v>835</v>
      </c>
      <c r="M374" s="3" t="str">
        <f>IF(I374="Billy Wilder", "Must Watch", IF(I374="John Ford", "Watch", "Maybe"))</f>
        <v>Maybe</v>
      </c>
    </row>
    <row r="375" spans="1:13" x14ac:dyDescent="0.25">
      <c r="A375">
        <v>374</v>
      </c>
      <c r="B375" t="s">
        <v>1168</v>
      </c>
      <c r="C375">
        <v>-2004</v>
      </c>
      <c r="D375">
        <v>15</v>
      </c>
      <c r="E375" t="s">
        <v>136</v>
      </c>
      <c r="F375" t="s">
        <v>225</v>
      </c>
      <c r="G375">
        <v>8</v>
      </c>
      <c r="I375" t="s">
        <v>1169</v>
      </c>
      <c r="J375" s="3">
        <v>62311</v>
      </c>
      <c r="M375" s="3" t="str">
        <f>IF(I375="Billy Wilder", "Must Watch", IF(I375="John Ford", "Watch", "Maybe"))</f>
        <v>Maybe</v>
      </c>
    </row>
    <row r="376" spans="1:13" x14ac:dyDescent="0.25">
      <c r="A376">
        <v>375</v>
      </c>
      <c r="B376" t="s">
        <v>1170</v>
      </c>
      <c r="C376">
        <v>-2006</v>
      </c>
      <c r="D376" t="s">
        <v>30</v>
      </c>
      <c r="E376" t="s">
        <v>1072</v>
      </c>
      <c r="F376" t="s">
        <v>1171</v>
      </c>
      <c r="G376">
        <v>8</v>
      </c>
      <c r="H376">
        <v>80</v>
      </c>
      <c r="I376" t="s">
        <v>1172</v>
      </c>
      <c r="J376" s="3">
        <v>647938</v>
      </c>
      <c r="K376" t="s">
        <v>1173</v>
      </c>
      <c r="M376" s="3" t="str">
        <f>IF(I376="Billy Wilder", "Must Watch", IF(I376="John Ford", "Watch", "Maybe"))</f>
        <v>Maybe</v>
      </c>
    </row>
    <row r="377" spans="1:13" x14ac:dyDescent="0.25">
      <c r="A377">
        <v>376</v>
      </c>
      <c r="B377" t="s">
        <v>1174</v>
      </c>
      <c r="C377">
        <v>-2004</v>
      </c>
      <c r="D377">
        <v>18</v>
      </c>
      <c r="E377" t="s">
        <v>139</v>
      </c>
      <c r="F377" t="s">
        <v>1175</v>
      </c>
      <c r="G377">
        <v>8</v>
      </c>
      <c r="H377">
        <v>83</v>
      </c>
      <c r="I377" t="s">
        <v>60</v>
      </c>
      <c r="J377" s="3">
        <v>740845</v>
      </c>
      <c r="K377" t="s">
        <v>1176</v>
      </c>
      <c r="M377" s="3" t="str">
        <f>IF(I377="Billy Wilder", "Must Watch", IF(I377="John Ford", "Watch", "Maybe"))</f>
        <v>Maybe</v>
      </c>
    </row>
    <row r="378" spans="1:13" x14ac:dyDescent="0.25">
      <c r="A378">
        <v>377</v>
      </c>
      <c r="B378" t="s">
        <v>1177</v>
      </c>
      <c r="C378">
        <v>-2003</v>
      </c>
      <c r="D378">
        <v>15</v>
      </c>
      <c r="E378" t="s">
        <v>403</v>
      </c>
      <c r="F378" t="s">
        <v>78</v>
      </c>
      <c r="G378">
        <v>8</v>
      </c>
      <c r="H378">
        <v>85</v>
      </c>
      <c r="I378" t="s">
        <v>1178</v>
      </c>
      <c r="J378" s="3">
        <v>82411</v>
      </c>
      <c r="K378" t="s">
        <v>333</v>
      </c>
      <c r="M378" s="3" t="str">
        <f>IF(I378="Billy Wilder", "Must Watch", IF(I378="John Ford", "Watch", "Maybe"))</f>
        <v>Maybe</v>
      </c>
    </row>
    <row r="379" spans="1:13" x14ac:dyDescent="0.25">
      <c r="A379">
        <v>378</v>
      </c>
      <c r="B379" t="s">
        <v>1179</v>
      </c>
      <c r="C379" t="s">
        <v>1180</v>
      </c>
      <c r="D379" t="s">
        <v>74</v>
      </c>
      <c r="E379" t="s">
        <v>263</v>
      </c>
      <c r="F379" t="s">
        <v>606</v>
      </c>
      <c r="G379">
        <v>8</v>
      </c>
      <c r="H379">
        <v>74</v>
      </c>
      <c r="I379" t="s">
        <v>1181</v>
      </c>
      <c r="J379" s="3">
        <v>81402</v>
      </c>
      <c r="K379" t="s">
        <v>1182</v>
      </c>
      <c r="M379" s="3" t="str">
        <f>IF(I379="Billy Wilder", "Must Watch", IF(I379="John Ford", "Watch", "Maybe"))</f>
        <v>Maybe</v>
      </c>
    </row>
    <row r="380" spans="1:13" x14ac:dyDescent="0.25">
      <c r="A380">
        <v>379</v>
      </c>
      <c r="B380" t="s">
        <v>1183</v>
      </c>
      <c r="C380">
        <v>-2005</v>
      </c>
      <c r="D380" t="s">
        <v>30</v>
      </c>
      <c r="E380" t="s">
        <v>1072</v>
      </c>
      <c r="F380" t="s">
        <v>1184</v>
      </c>
      <c r="G380">
        <v>8</v>
      </c>
      <c r="H380">
        <v>69</v>
      </c>
      <c r="I380" t="s">
        <v>607</v>
      </c>
      <c r="J380" s="3">
        <v>186224</v>
      </c>
      <c r="K380" t="s">
        <v>1185</v>
      </c>
      <c r="M380" s="3" t="str">
        <f>IF(I380="Billy Wilder", "Must Watch", IF(I380="John Ford", "Watch", "Maybe"))</f>
        <v>Maybe</v>
      </c>
    </row>
    <row r="381" spans="1:13" x14ac:dyDescent="0.25">
      <c r="A381">
        <v>380</v>
      </c>
      <c r="B381" t="s">
        <v>1186</v>
      </c>
      <c r="C381">
        <v>-2002</v>
      </c>
      <c r="D381">
        <v>15</v>
      </c>
      <c r="E381" t="s">
        <v>321</v>
      </c>
      <c r="F381" t="s">
        <v>32</v>
      </c>
      <c r="G381">
        <v>8</v>
      </c>
      <c r="H381">
        <v>75</v>
      </c>
      <c r="I381" t="s">
        <v>1187</v>
      </c>
      <c r="J381" s="3">
        <v>123919</v>
      </c>
      <c r="K381" t="s">
        <v>904</v>
      </c>
      <c r="M381" s="3" t="str">
        <f>IF(I381="Billy Wilder", "Must Watch", IF(I381="John Ford", "Watch", "Maybe"))</f>
        <v>Maybe</v>
      </c>
    </row>
    <row r="382" spans="1:13" x14ac:dyDescent="0.25">
      <c r="A382">
        <v>381</v>
      </c>
      <c r="B382" t="s">
        <v>1188</v>
      </c>
      <c r="C382">
        <v>-2003</v>
      </c>
      <c r="D382" t="s">
        <v>74</v>
      </c>
      <c r="E382" t="s">
        <v>119</v>
      </c>
      <c r="F382" t="s">
        <v>1189</v>
      </c>
      <c r="G382">
        <v>8</v>
      </c>
      <c r="H382">
        <v>58</v>
      </c>
      <c r="I382" t="s">
        <v>1190</v>
      </c>
      <c r="J382" s="3">
        <v>437219</v>
      </c>
      <c r="K382" t="s">
        <v>1191</v>
      </c>
      <c r="M382" s="3" t="str">
        <f>IF(I382="Billy Wilder", "Must Watch", IF(I382="John Ford", "Watch", "Maybe"))</f>
        <v>Maybe</v>
      </c>
    </row>
    <row r="383" spans="1:13" x14ac:dyDescent="0.25">
      <c r="A383">
        <v>382</v>
      </c>
      <c r="B383" t="s">
        <v>1192</v>
      </c>
      <c r="C383">
        <v>-2004</v>
      </c>
      <c r="D383" t="s">
        <v>49</v>
      </c>
      <c r="E383" t="s">
        <v>342</v>
      </c>
      <c r="F383" t="s">
        <v>279</v>
      </c>
      <c r="G383">
        <v>8</v>
      </c>
      <c r="H383">
        <v>90</v>
      </c>
      <c r="I383" t="s">
        <v>848</v>
      </c>
      <c r="J383" s="3">
        <v>716550</v>
      </c>
      <c r="K383" t="s">
        <v>1193</v>
      </c>
      <c r="M383" s="3" t="str">
        <f>IF(I383="Billy Wilder", "Must Watch", IF(I383="John Ford", "Watch", "Maybe"))</f>
        <v>Maybe</v>
      </c>
    </row>
    <row r="384" spans="1:13" x14ac:dyDescent="0.25">
      <c r="A384">
        <v>383</v>
      </c>
      <c r="B384" t="s">
        <v>1194</v>
      </c>
      <c r="C384">
        <v>-2001</v>
      </c>
      <c r="E384" t="s">
        <v>139</v>
      </c>
      <c r="F384" t="s">
        <v>132</v>
      </c>
      <c r="G384">
        <v>8</v>
      </c>
      <c r="I384" t="s">
        <v>1195</v>
      </c>
      <c r="J384" s="3">
        <v>47937</v>
      </c>
      <c r="M384" s="3" t="str">
        <f>IF(I384="Billy Wilder", "Must Watch", IF(I384="John Ford", "Watch", "Maybe"))</f>
        <v>Maybe</v>
      </c>
    </row>
    <row r="385" spans="1:13" x14ac:dyDescent="0.25">
      <c r="A385">
        <v>384</v>
      </c>
      <c r="B385" t="s">
        <v>1196</v>
      </c>
      <c r="C385">
        <v>-2003</v>
      </c>
      <c r="D385">
        <v>15</v>
      </c>
      <c r="E385" t="s">
        <v>75</v>
      </c>
      <c r="F385" t="s">
        <v>26</v>
      </c>
      <c r="G385">
        <v>8</v>
      </c>
      <c r="H385">
        <v>60</v>
      </c>
      <c r="I385" t="s">
        <v>1197</v>
      </c>
      <c r="J385" s="3">
        <v>147584</v>
      </c>
      <c r="K385" t="s">
        <v>1000</v>
      </c>
      <c r="M385" s="3" t="str">
        <f>IF(I385="Billy Wilder", "Must Watch", IF(I385="John Ford", "Watch", "Maybe"))</f>
        <v>Maybe</v>
      </c>
    </row>
    <row r="386" spans="1:13" x14ac:dyDescent="0.25">
      <c r="A386">
        <v>385</v>
      </c>
      <c r="B386" t="s">
        <v>1198</v>
      </c>
      <c r="C386">
        <v>-2001</v>
      </c>
      <c r="D386">
        <v>15</v>
      </c>
      <c r="E386" t="s">
        <v>209</v>
      </c>
      <c r="F386" t="s">
        <v>304</v>
      </c>
      <c r="G386">
        <v>8</v>
      </c>
      <c r="I386" t="s">
        <v>1199</v>
      </c>
      <c r="J386" s="3">
        <v>36506</v>
      </c>
      <c r="M386" s="3" t="str">
        <f>IF(I386="Billy Wilder", "Must Watch", IF(I386="John Ford", "Watch", "Maybe"))</f>
        <v>Maybe</v>
      </c>
    </row>
    <row r="387" spans="1:13" x14ac:dyDescent="0.25">
      <c r="A387">
        <v>386</v>
      </c>
      <c r="B387" t="s">
        <v>1200</v>
      </c>
      <c r="C387">
        <v>-2001</v>
      </c>
      <c r="D387">
        <v>15</v>
      </c>
      <c r="E387" t="s">
        <v>325</v>
      </c>
      <c r="F387" t="s">
        <v>187</v>
      </c>
      <c r="G387">
        <v>8</v>
      </c>
      <c r="H387">
        <v>88</v>
      </c>
      <c r="I387" t="s">
        <v>1201</v>
      </c>
      <c r="J387" s="3">
        <v>787427</v>
      </c>
      <c r="K387" t="s">
        <v>1202</v>
      </c>
      <c r="M387" s="3" t="str">
        <f>IF(I387="Billy Wilder", "Must Watch", IF(I387="John Ford", "Watch", "Maybe"))</f>
        <v>Maybe</v>
      </c>
    </row>
    <row r="388" spans="1:13" x14ac:dyDescent="0.25">
      <c r="A388">
        <v>387</v>
      </c>
      <c r="B388" t="s">
        <v>1203</v>
      </c>
      <c r="C388">
        <v>-1999</v>
      </c>
      <c r="D388">
        <v>18</v>
      </c>
      <c r="E388" t="s">
        <v>951</v>
      </c>
      <c r="F388" t="s">
        <v>20</v>
      </c>
      <c r="G388">
        <v>8</v>
      </c>
      <c r="H388">
        <v>77</v>
      </c>
      <c r="I388" t="s">
        <v>588</v>
      </c>
      <c r="J388" s="3">
        <v>309294</v>
      </c>
      <c r="K388" t="s">
        <v>1204</v>
      </c>
      <c r="M388" s="3" t="str">
        <f>IF(I388="Billy Wilder", "Must Watch", IF(I388="John Ford", "Watch", "Maybe"))</f>
        <v>Maybe</v>
      </c>
    </row>
    <row r="389" spans="1:13" x14ac:dyDescent="0.25">
      <c r="A389">
        <v>388</v>
      </c>
      <c r="B389" t="s">
        <v>1205</v>
      </c>
      <c r="C389">
        <v>-1997</v>
      </c>
      <c r="D389">
        <v>15</v>
      </c>
      <c r="E389" t="s">
        <v>254</v>
      </c>
      <c r="F389" t="s">
        <v>1206</v>
      </c>
      <c r="G389">
        <v>8</v>
      </c>
      <c r="I389" t="s">
        <v>1207</v>
      </c>
      <c r="J389" s="3">
        <v>52818</v>
      </c>
      <c r="M389" s="3" t="str">
        <f>IF(I389="Billy Wilder", "Must Watch", IF(I389="John Ford", "Watch", "Maybe"))</f>
        <v>Maybe</v>
      </c>
    </row>
    <row r="390" spans="1:13" x14ac:dyDescent="0.25">
      <c r="A390">
        <v>389</v>
      </c>
      <c r="B390" t="s">
        <v>1208</v>
      </c>
      <c r="C390">
        <v>-1999</v>
      </c>
      <c r="D390" t="s">
        <v>49</v>
      </c>
      <c r="E390" t="s">
        <v>176</v>
      </c>
      <c r="F390" t="s">
        <v>606</v>
      </c>
      <c r="G390">
        <v>8</v>
      </c>
      <c r="H390">
        <v>86</v>
      </c>
      <c r="I390" t="s">
        <v>653</v>
      </c>
      <c r="J390" s="3">
        <v>89747</v>
      </c>
      <c r="K390" t="s">
        <v>1209</v>
      </c>
      <c r="M390" s="3" t="str">
        <f>IF(I390="Billy Wilder", "Must Watch", IF(I390="John Ford", "Watch", "Maybe"))</f>
        <v>Maybe</v>
      </c>
    </row>
    <row r="391" spans="1:13" x14ac:dyDescent="0.25">
      <c r="A391">
        <v>390</v>
      </c>
      <c r="B391" t="s">
        <v>1210</v>
      </c>
      <c r="C391">
        <v>-1997</v>
      </c>
      <c r="D391">
        <v>18</v>
      </c>
      <c r="E391" t="s">
        <v>429</v>
      </c>
      <c r="F391" t="s">
        <v>1211</v>
      </c>
      <c r="G391">
        <v>8</v>
      </c>
      <c r="I391" t="s">
        <v>1212</v>
      </c>
      <c r="J391" s="3">
        <v>73147</v>
      </c>
      <c r="K391" t="s">
        <v>1213</v>
      </c>
      <c r="M391" s="3" t="str">
        <f>IF(I391="Billy Wilder", "Must Watch", IF(I391="John Ford", "Watch", "Maybe"))</f>
        <v>Maybe</v>
      </c>
    </row>
    <row r="392" spans="1:13" x14ac:dyDescent="0.25">
      <c r="A392">
        <v>391</v>
      </c>
      <c r="B392" t="s">
        <v>1214</v>
      </c>
      <c r="C392">
        <v>-1998</v>
      </c>
      <c r="D392">
        <v>15</v>
      </c>
      <c r="E392" t="s">
        <v>209</v>
      </c>
      <c r="F392" t="s">
        <v>20</v>
      </c>
      <c r="G392">
        <v>8</v>
      </c>
      <c r="H392">
        <v>80</v>
      </c>
      <c r="I392" t="s">
        <v>1215</v>
      </c>
      <c r="J392" s="3">
        <v>39408</v>
      </c>
      <c r="K392" t="s">
        <v>1216</v>
      </c>
      <c r="M392" s="3" t="str">
        <f>IF(I392="Billy Wilder", "Must Watch", IF(I392="John Ford", "Watch", "Maybe"))</f>
        <v>Maybe</v>
      </c>
    </row>
    <row r="393" spans="1:13" x14ac:dyDescent="0.25">
      <c r="A393">
        <v>392</v>
      </c>
      <c r="B393" t="s">
        <v>1217</v>
      </c>
      <c r="C393">
        <v>-1998</v>
      </c>
      <c r="D393">
        <v>15</v>
      </c>
      <c r="E393" t="s">
        <v>112</v>
      </c>
      <c r="F393" t="s">
        <v>921</v>
      </c>
      <c r="G393">
        <v>8</v>
      </c>
      <c r="H393">
        <v>58</v>
      </c>
      <c r="I393" t="s">
        <v>218</v>
      </c>
      <c r="J393" s="3">
        <v>63768</v>
      </c>
      <c r="K393" t="s">
        <v>1218</v>
      </c>
      <c r="M393" s="3" t="str">
        <f>IF(I393="Billy Wilder", "Must Watch", IF(I393="John Ford", "Watch", "Maybe"))</f>
        <v>Maybe</v>
      </c>
    </row>
    <row r="394" spans="1:13" x14ac:dyDescent="0.25">
      <c r="A394">
        <v>393</v>
      </c>
      <c r="B394" t="s">
        <v>1219</v>
      </c>
      <c r="C394">
        <v>-1998</v>
      </c>
      <c r="D394">
        <v>15</v>
      </c>
      <c r="E394" t="s">
        <v>136</v>
      </c>
      <c r="F394" t="s">
        <v>1220</v>
      </c>
      <c r="G394">
        <v>8</v>
      </c>
      <c r="H394">
        <v>73</v>
      </c>
      <c r="I394" t="s">
        <v>903</v>
      </c>
      <c r="J394" s="3">
        <v>53519</v>
      </c>
      <c r="K394" t="s">
        <v>1221</v>
      </c>
      <c r="M394" s="3" t="str">
        <f>IF(I394="Billy Wilder", "Must Watch", IF(I394="John Ford", "Watch", "Maybe"))</f>
        <v>Maybe</v>
      </c>
    </row>
    <row r="395" spans="1:13" x14ac:dyDescent="0.25">
      <c r="A395">
        <v>394</v>
      </c>
      <c r="B395" t="s">
        <v>1222</v>
      </c>
      <c r="C395">
        <v>-2000</v>
      </c>
      <c r="D395" t="s">
        <v>74</v>
      </c>
      <c r="E395" t="s">
        <v>313</v>
      </c>
      <c r="F395" t="s">
        <v>78</v>
      </c>
      <c r="G395">
        <v>8</v>
      </c>
      <c r="H395">
        <v>85</v>
      </c>
      <c r="I395" t="s">
        <v>1223</v>
      </c>
      <c r="J395" s="3">
        <v>146037</v>
      </c>
      <c r="K395" t="s">
        <v>1224</v>
      </c>
      <c r="M395" s="3" t="str">
        <f>IF(I395="Billy Wilder", "Must Watch", IF(I395="John Ford", "Watch", "Maybe"))</f>
        <v>Maybe</v>
      </c>
    </row>
    <row r="396" spans="1:13" x14ac:dyDescent="0.25">
      <c r="A396">
        <v>395</v>
      </c>
      <c r="B396" t="s">
        <v>1225</v>
      </c>
      <c r="C396">
        <v>-1996</v>
      </c>
      <c r="D396">
        <v>15</v>
      </c>
      <c r="E396" t="s">
        <v>309</v>
      </c>
      <c r="F396" t="s">
        <v>20</v>
      </c>
      <c r="G396">
        <v>8</v>
      </c>
      <c r="H396">
        <v>84</v>
      </c>
      <c r="I396" t="s">
        <v>1226</v>
      </c>
      <c r="J396" s="3">
        <v>93415</v>
      </c>
      <c r="K396" t="s">
        <v>1227</v>
      </c>
      <c r="M396" s="3" t="str">
        <f>IF(I396="Billy Wilder", "Must Watch", IF(I396="John Ford", "Watch", "Maybe"))</f>
        <v>Maybe</v>
      </c>
    </row>
    <row r="397" spans="1:13" x14ac:dyDescent="0.25">
      <c r="A397">
        <v>396</v>
      </c>
      <c r="B397" t="s">
        <v>1228</v>
      </c>
      <c r="C397">
        <v>-1996</v>
      </c>
      <c r="D397">
        <v>15</v>
      </c>
      <c r="E397" t="s">
        <v>89</v>
      </c>
      <c r="F397" t="s">
        <v>304</v>
      </c>
      <c r="G397">
        <v>8</v>
      </c>
      <c r="H397">
        <v>91</v>
      </c>
      <c r="I397" t="s">
        <v>1229</v>
      </c>
      <c r="J397" s="3">
        <v>42970</v>
      </c>
      <c r="K397" t="s">
        <v>1230</v>
      </c>
      <c r="M397" s="3" t="str">
        <f>IF(I397="Billy Wilder", "Must Watch", IF(I397="John Ford", "Watch", "Maybe"))</f>
        <v>Maybe</v>
      </c>
    </row>
    <row r="398" spans="1:13" x14ac:dyDescent="0.25">
      <c r="A398">
        <v>397</v>
      </c>
      <c r="B398" t="s">
        <v>1231</v>
      </c>
      <c r="C398">
        <v>-1995</v>
      </c>
      <c r="D398">
        <v>15</v>
      </c>
      <c r="E398" t="s">
        <v>452</v>
      </c>
      <c r="F398" t="s">
        <v>1232</v>
      </c>
      <c r="G398">
        <v>8</v>
      </c>
      <c r="H398">
        <v>74</v>
      </c>
      <c r="I398" t="s">
        <v>660</v>
      </c>
      <c r="J398" s="3">
        <v>610830</v>
      </c>
      <c r="K398" t="s">
        <v>1233</v>
      </c>
      <c r="M398" s="3" t="str">
        <f>IF(I398="Billy Wilder", "Must Watch", IF(I398="John Ford", "Watch", "Maybe"))</f>
        <v>Maybe</v>
      </c>
    </row>
    <row r="399" spans="1:13" x14ac:dyDescent="0.25">
      <c r="A399">
        <v>398</v>
      </c>
      <c r="B399" t="s">
        <v>1234</v>
      </c>
      <c r="C399">
        <v>-1995</v>
      </c>
      <c r="D399" t="s">
        <v>74</v>
      </c>
      <c r="E399" t="s">
        <v>127</v>
      </c>
      <c r="F399" t="s">
        <v>78</v>
      </c>
      <c r="G399">
        <v>8</v>
      </c>
      <c r="I399" t="s">
        <v>1235</v>
      </c>
      <c r="J399" s="3">
        <v>68613</v>
      </c>
      <c r="M399" s="3" t="str">
        <f>IF(I399="Billy Wilder", "Must Watch", IF(I399="John Ford", "Watch", "Maybe"))</f>
        <v>Maybe</v>
      </c>
    </row>
    <row r="400" spans="1:13" x14ac:dyDescent="0.25">
      <c r="A400">
        <v>399</v>
      </c>
      <c r="B400" t="s">
        <v>1236</v>
      </c>
      <c r="C400">
        <v>-1994</v>
      </c>
      <c r="D400">
        <v>12</v>
      </c>
      <c r="E400" t="s">
        <v>249</v>
      </c>
      <c r="F400" t="s">
        <v>453</v>
      </c>
      <c r="G400">
        <v>8</v>
      </c>
      <c r="H400">
        <v>78</v>
      </c>
      <c r="I400" t="s">
        <v>1223</v>
      </c>
      <c r="J400" s="3">
        <v>78900</v>
      </c>
      <c r="K400" t="s">
        <v>1237</v>
      </c>
      <c r="M400" s="3" t="str">
        <f>IF(I400="Billy Wilder", "Must Watch", IF(I400="John Ford", "Watch", "Maybe"))</f>
        <v>Maybe</v>
      </c>
    </row>
    <row r="401" spans="1:13" x14ac:dyDescent="0.25">
      <c r="A401">
        <v>400</v>
      </c>
      <c r="B401" t="s">
        <v>1238</v>
      </c>
      <c r="C401">
        <v>-1994</v>
      </c>
      <c r="D401" t="s">
        <v>49</v>
      </c>
      <c r="E401" t="s">
        <v>260</v>
      </c>
      <c r="F401" t="s">
        <v>717</v>
      </c>
      <c r="G401">
        <v>8</v>
      </c>
      <c r="I401" t="s">
        <v>1239</v>
      </c>
      <c r="J401" s="3">
        <v>52999</v>
      </c>
      <c r="M401" s="3" t="str">
        <f>IF(I401="Billy Wilder", "Must Watch", IF(I401="John Ford", "Watch", "Maybe"))</f>
        <v>Maybe</v>
      </c>
    </row>
    <row r="402" spans="1:13" x14ac:dyDescent="0.25">
      <c r="A402">
        <v>401</v>
      </c>
      <c r="B402" t="s">
        <v>1240</v>
      </c>
      <c r="C402">
        <v>-1992</v>
      </c>
      <c r="D402">
        <v>15</v>
      </c>
      <c r="E402" t="s">
        <v>527</v>
      </c>
      <c r="F402" t="s">
        <v>20</v>
      </c>
      <c r="G402">
        <v>8</v>
      </c>
      <c r="H402">
        <v>59</v>
      </c>
      <c r="I402" t="s">
        <v>1241</v>
      </c>
      <c r="J402" s="3">
        <v>290620</v>
      </c>
      <c r="K402" t="s">
        <v>1242</v>
      </c>
      <c r="M402" s="3" t="str">
        <f>IF(I402="Billy Wilder", "Must Watch", IF(I402="John Ford", "Watch", "Maybe"))</f>
        <v>Maybe</v>
      </c>
    </row>
    <row r="403" spans="1:13" x14ac:dyDescent="0.25">
      <c r="A403">
        <v>402</v>
      </c>
      <c r="B403" t="s">
        <v>1243</v>
      </c>
      <c r="C403">
        <v>-1992</v>
      </c>
      <c r="D403" t="s">
        <v>49</v>
      </c>
      <c r="E403" t="s">
        <v>1244</v>
      </c>
      <c r="F403" t="s">
        <v>292</v>
      </c>
      <c r="G403">
        <v>8</v>
      </c>
      <c r="H403">
        <v>86</v>
      </c>
      <c r="I403" t="s">
        <v>1245</v>
      </c>
      <c r="J403" s="3">
        <v>407257</v>
      </c>
      <c r="K403" t="s">
        <v>1246</v>
      </c>
      <c r="M403" s="3" t="str">
        <f>IF(I403="Billy Wilder", "Must Watch", IF(I403="John Ford", "Watch", "Maybe"))</f>
        <v>Maybe</v>
      </c>
    </row>
    <row r="404" spans="1:13" x14ac:dyDescent="0.25">
      <c r="A404">
        <v>403</v>
      </c>
      <c r="B404" t="s">
        <v>1247</v>
      </c>
      <c r="C404">
        <v>-1991</v>
      </c>
      <c r="D404">
        <v>15</v>
      </c>
      <c r="E404" t="s">
        <v>127</v>
      </c>
      <c r="F404" t="s">
        <v>1248</v>
      </c>
      <c r="G404">
        <v>8</v>
      </c>
      <c r="H404">
        <v>72</v>
      </c>
      <c r="I404" t="s">
        <v>938</v>
      </c>
      <c r="J404" s="3">
        <v>154205</v>
      </c>
      <c r="K404" t="s">
        <v>1249</v>
      </c>
      <c r="M404" s="3" t="str">
        <f>IF(I404="Billy Wilder", "Must Watch", IF(I404="John Ford", "Watch", "Maybe"))</f>
        <v>Maybe</v>
      </c>
    </row>
    <row r="405" spans="1:13" x14ac:dyDescent="0.25">
      <c r="A405">
        <v>404</v>
      </c>
      <c r="B405" t="s">
        <v>1250</v>
      </c>
      <c r="C405">
        <v>-1991</v>
      </c>
      <c r="D405" t="s">
        <v>49</v>
      </c>
      <c r="E405" t="s">
        <v>1251</v>
      </c>
      <c r="F405" t="s">
        <v>1252</v>
      </c>
      <c r="G405">
        <v>8</v>
      </c>
      <c r="H405">
        <v>95</v>
      </c>
      <c r="I405" t="s">
        <v>1253</v>
      </c>
      <c r="J405" s="3">
        <v>446121</v>
      </c>
      <c r="K405" t="s">
        <v>1254</v>
      </c>
      <c r="M405" s="3" t="str">
        <f>IF(I405="Billy Wilder", "Must Watch", IF(I405="John Ford", "Watch", "Maybe"))</f>
        <v>Maybe</v>
      </c>
    </row>
    <row r="406" spans="1:13" x14ac:dyDescent="0.25">
      <c r="A406">
        <v>405</v>
      </c>
      <c r="B406" t="s">
        <v>1255</v>
      </c>
      <c r="C406">
        <v>-1990</v>
      </c>
      <c r="D406">
        <v>12</v>
      </c>
      <c r="E406" t="s">
        <v>283</v>
      </c>
      <c r="F406" t="s">
        <v>697</v>
      </c>
      <c r="G406">
        <v>8</v>
      </c>
      <c r="H406">
        <v>72</v>
      </c>
      <c r="I406" t="s">
        <v>1256</v>
      </c>
      <c r="J406" s="3">
        <v>262093</v>
      </c>
      <c r="K406" t="s">
        <v>1257</v>
      </c>
      <c r="M406" s="3" t="str">
        <f>IF(I406="Billy Wilder", "Must Watch", IF(I406="John Ford", "Watch", "Maybe"))</f>
        <v>Maybe</v>
      </c>
    </row>
    <row r="407" spans="1:13" x14ac:dyDescent="0.25">
      <c r="A407">
        <v>406</v>
      </c>
      <c r="B407" t="s">
        <v>1258</v>
      </c>
      <c r="C407">
        <v>-1988</v>
      </c>
      <c r="D407">
        <v>15</v>
      </c>
      <c r="E407" t="s">
        <v>104</v>
      </c>
      <c r="F407" t="s">
        <v>20</v>
      </c>
      <c r="G407">
        <v>8</v>
      </c>
      <c r="H407">
        <v>65</v>
      </c>
      <c r="I407" t="s">
        <v>1259</v>
      </c>
      <c r="J407" s="3">
        <v>506446</v>
      </c>
      <c r="K407" t="s">
        <v>1260</v>
      </c>
      <c r="M407" s="3" t="str">
        <f>IF(I407="Billy Wilder", "Must Watch", IF(I407="John Ford", "Watch", "Maybe"))</f>
        <v>Maybe</v>
      </c>
    </row>
    <row r="408" spans="1:13" x14ac:dyDescent="0.25">
      <c r="A408">
        <v>407</v>
      </c>
      <c r="B408" t="s">
        <v>1261</v>
      </c>
      <c r="C408">
        <v>-1988</v>
      </c>
      <c r="D408">
        <v>12</v>
      </c>
      <c r="E408" t="s">
        <v>99</v>
      </c>
      <c r="F408" t="s">
        <v>1206</v>
      </c>
      <c r="G408">
        <v>8</v>
      </c>
      <c r="H408">
        <v>67</v>
      </c>
      <c r="I408" t="s">
        <v>1262</v>
      </c>
      <c r="J408" s="3">
        <v>182484</v>
      </c>
      <c r="K408" t="s">
        <v>1263</v>
      </c>
      <c r="M408" s="3" t="str">
        <f>IF(I408="Billy Wilder", "Must Watch", IF(I408="John Ford", "Watch", "Maybe"))</f>
        <v>Maybe</v>
      </c>
    </row>
    <row r="409" spans="1:13" x14ac:dyDescent="0.25">
      <c r="A409">
        <v>408</v>
      </c>
      <c r="B409" t="s">
        <v>1264</v>
      </c>
      <c r="C409">
        <v>-1987</v>
      </c>
      <c r="D409" t="s">
        <v>74</v>
      </c>
      <c r="E409" t="s">
        <v>313</v>
      </c>
      <c r="F409" t="s">
        <v>1044</v>
      </c>
      <c r="G409">
        <v>8</v>
      </c>
      <c r="H409">
        <v>77</v>
      </c>
      <c r="I409" t="s">
        <v>935</v>
      </c>
      <c r="J409" s="3">
        <v>422438</v>
      </c>
      <c r="K409" t="s">
        <v>1265</v>
      </c>
      <c r="M409" s="3" t="str">
        <f>IF(I409="Billy Wilder", "Must Watch", IF(I409="John Ford", "Watch", "Maybe"))</f>
        <v>Maybe</v>
      </c>
    </row>
    <row r="410" spans="1:13" x14ac:dyDescent="0.25">
      <c r="A410">
        <v>409</v>
      </c>
      <c r="B410" t="s">
        <v>1266</v>
      </c>
      <c r="C410">
        <v>-1987</v>
      </c>
      <c r="D410" t="s">
        <v>74</v>
      </c>
      <c r="E410" t="s">
        <v>477</v>
      </c>
      <c r="F410" t="s">
        <v>1267</v>
      </c>
      <c r="G410">
        <v>8</v>
      </c>
      <c r="H410">
        <v>79</v>
      </c>
      <c r="I410" t="s">
        <v>1268</v>
      </c>
      <c r="J410" s="3">
        <v>70334</v>
      </c>
      <c r="K410" t="s">
        <v>1269</v>
      </c>
      <c r="M410" s="3" t="str">
        <f>IF(I410="Billy Wilder", "Must Watch", IF(I410="John Ford", "Watch", "Maybe"))</f>
        <v>Maybe</v>
      </c>
    </row>
    <row r="411" spans="1:13" x14ac:dyDescent="0.25">
      <c r="A411">
        <v>410</v>
      </c>
      <c r="B411" t="s">
        <v>1270</v>
      </c>
      <c r="C411">
        <v>-1987</v>
      </c>
      <c r="D411" t="s">
        <v>74</v>
      </c>
      <c r="E411" t="s">
        <v>418</v>
      </c>
      <c r="F411" t="s">
        <v>124</v>
      </c>
      <c r="G411">
        <v>8</v>
      </c>
      <c r="H411">
        <v>88</v>
      </c>
      <c r="I411" t="s">
        <v>1271</v>
      </c>
      <c r="J411" s="3">
        <v>33664</v>
      </c>
      <c r="K411" t="s">
        <v>1272</v>
      </c>
      <c r="M411" s="3" t="str">
        <f>IF(I411="Billy Wilder", "Must Watch", IF(I411="John Ford", "Watch", "Maybe"))</f>
        <v>Maybe</v>
      </c>
    </row>
    <row r="412" spans="1:13" x14ac:dyDescent="0.25">
      <c r="A412">
        <v>411</v>
      </c>
      <c r="B412" t="s">
        <v>1273</v>
      </c>
      <c r="C412">
        <v>-1986</v>
      </c>
      <c r="D412" t="s">
        <v>74</v>
      </c>
      <c r="E412" t="s">
        <v>119</v>
      </c>
      <c r="F412" t="s">
        <v>120</v>
      </c>
      <c r="G412">
        <v>8</v>
      </c>
      <c r="H412">
        <v>78</v>
      </c>
      <c r="I412" t="s">
        <v>121</v>
      </c>
      <c r="J412" s="3">
        <v>163978</v>
      </c>
      <c r="M412" s="3" t="str">
        <f>IF(I412="Billy Wilder", "Must Watch", IF(I412="John Ford", "Watch", "Maybe"))</f>
        <v>Maybe</v>
      </c>
    </row>
    <row r="413" spans="1:13" x14ac:dyDescent="0.25">
      <c r="A413">
        <v>412</v>
      </c>
      <c r="B413" t="s">
        <v>1274</v>
      </c>
      <c r="C413">
        <v>-1984</v>
      </c>
      <c r="D413">
        <v>15</v>
      </c>
      <c r="E413" t="s">
        <v>94</v>
      </c>
      <c r="F413" t="s">
        <v>20</v>
      </c>
      <c r="G413">
        <v>8</v>
      </c>
      <c r="H413">
        <v>78</v>
      </c>
      <c r="I413" t="s">
        <v>1268</v>
      </c>
      <c r="J413" s="3">
        <v>104322</v>
      </c>
      <c r="K413" t="s">
        <v>1275</v>
      </c>
      <c r="M413" s="3" t="str">
        <f>IF(I413="Billy Wilder", "Must Watch", IF(I413="John Ford", "Watch", "Maybe"))</f>
        <v>Maybe</v>
      </c>
    </row>
    <row r="414" spans="1:13" x14ac:dyDescent="0.25">
      <c r="A414">
        <v>413</v>
      </c>
      <c r="B414" t="s">
        <v>1276</v>
      </c>
      <c r="C414">
        <v>-1984</v>
      </c>
      <c r="D414" t="s">
        <v>49</v>
      </c>
      <c r="E414" t="s">
        <v>232</v>
      </c>
      <c r="F414" t="s">
        <v>1277</v>
      </c>
      <c r="G414">
        <v>8</v>
      </c>
      <c r="H414">
        <v>86</v>
      </c>
      <c r="I414" t="s">
        <v>121</v>
      </c>
      <c r="J414" s="3">
        <v>166978</v>
      </c>
      <c r="K414" t="s">
        <v>1278</v>
      </c>
      <c r="M414" s="3" t="str">
        <f>IF(I414="Billy Wilder", "Must Watch", IF(I414="John Ford", "Watch", "Maybe"))</f>
        <v>Maybe</v>
      </c>
    </row>
    <row r="415" spans="1:13" x14ac:dyDescent="0.25">
      <c r="A415">
        <v>414</v>
      </c>
      <c r="B415" t="s">
        <v>1279</v>
      </c>
      <c r="C415">
        <v>-1983</v>
      </c>
      <c r="D415">
        <v>15</v>
      </c>
      <c r="E415" t="s">
        <v>119</v>
      </c>
      <c r="F415" t="s">
        <v>20</v>
      </c>
      <c r="G415">
        <v>8</v>
      </c>
      <c r="I415" t="s">
        <v>957</v>
      </c>
      <c r="J415" s="3">
        <v>26796</v>
      </c>
      <c r="K415" t="s">
        <v>684</v>
      </c>
      <c r="M415" s="3" t="str">
        <f>IF(I415="Billy Wilder", "Must Watch", IF(I415="John Ford", "Watch", "Maybe"))</f>
        <v>Maybe</v>
      </c>
    </row>
    <row r="416" spans="1:13" x14ac:dyDescent="0.25">
      <c r="A416">
        <v>415</v>
      </c>
      <c r="B416" t="s">
        <v>1280</v>
      </c>
      <c r="C416">
        <v>-1982</v>
      </c>
      <c r="D416" t="s">
        <v>236</v>
      </c>
      <c r="E416" t="s">
        <v>356</v>
      </c>
      <c r="F416" t="s">
        <v>1281</v>
      </c>
      <c r="G416">
        <v>8</v>
      </c>
      <c r="H416">
        <v>47</v>
      </c>
      <c r="I416" t="s">
        <v>1282</v>
      </c>
      <c r="J416" s="3">
        <v>80505</v>
      </c>
      <c r="K416" t="s">
        <v>1283</v>
      </c>
      <c r="M416" s="3" t="str">
        <f>IF(I416="Billy Wilder", "Must Watch", IF(I416="John Ford", "Watch", "Maybe"))</f>
        <v>Maybe</v>
      </c>
    </row>
    <row r="417" spans="1:13" x14ac:dyDescent="0.25">
      <c r="A417">
        <v>416</v>
      </c>
      <c r="B417" t="s">
        <v>1284</v>
      </c>
      <c r="C417">
        <v>-1982</v>
      </c>
      <c r="D417" t="s">
        <v>155</v>
      </c>
      <c r="E417" t="s">
        <v>272</v>
      </c>
      <c r="F417" t="s">
        <v>934</v>
      </c>
      <c r="G417">
        <v>8</v>
      </c>
      <c r="I417" t="s">
        <v>1285</v>
      </c>
      <c r="J417" s="3">
        <v>34672</v>
      </c>
      <c r="M417" s="3" t="str">
        <f>IF(I417="Billy Wilder", "Must Watch", IF(I417="John Ford", "Watch", "Maybe"))</f>
        <v>Maybe</v>
      </c>
    </row>
    <row r="418" spans="1:13" x14ac:dyDescent="0.25">
      <c r="A418">
        <v>417</v>
      </c>
      <c r="B418" t="s">
        <v>1286</v>
      </c>
      <c r="C418">
        <v>-1979</v>
      </c>
      <c r="D418" t="s">
        <v>236</v>
      </c>
      <c r="E418" t="s">
        <v>1057</v>
      </c>
      <c r="F418" t="s">
        <v>1287</v>
      </c>
      <c r="G418">
        <v>8</v>
      </c>
      <c r="H418">
        <v>77</v>
      </c>
      <c r="I418" t="s">
        <v>1288</v>
      </c>
      <c r="J418" s="3">
        <v>394533</v>
      </c>
      <c r="K418" t="s">
        <v>1289</v>
      </c>
      <c r="M418" s="3" t="str">
        <f>IF(I418="Billy Wilder", "Must Watch", IF(I418="John Ford", "Watch", "Maybe"))</f>
        <v>Maybe</v>
      </c>
    </row>
    <row r="419" spans="1:13" x14ac:dyDescent="0.25">
      <c r="A419">
        <v>418</v>
      </c>
      <c r="B419" t="s">
        <v>1290</v>
      </c>
      <c r="C419">
        <v>-1979</v>
      </c>
      <c r="D419" t="s">
        <v>236</v>
      </c>
      <c r="E419" t="s">
        <v>108</v>
      </c>
      <c r="F419" t="s">
        <v>304</v>
      </c>
      <c r="G419">
        <v>8</v>
      </c>
      <c r="H419">
        <v>83</v>
      </c>
      <c r="I419" t="s">
        <v>1291</v>
      </c>
      <c r="J419" s="3">
        <v>71967</v>
      </c>
      <c r="K419" t="s">
        <v>1292</v>
      </c>
      <c r="M419" s="3" t="str">
        <f>IF(I419="Billy Wilder", "Must Watch", IF(I419="John Ford", "Watch", "Maybe"))</f>
        <v>Maybe</v>
      </c>
    </row>
    <row r="420" spans="1:13" x14ac:dyDescent="0.25">
      <c r="A420">
        <v>419</v>
      </c>
      <c r="B420" t="s">
        <v>1293</v>
      </c>
      <c r="C420">
        <v>-1977</v>
      </c>
      <c r="D420" t="s">
        <v>236</v>
      </c>
      <c r="E420" t="s">
        <v>823</v>
      </c>
      <c r="F420" t="s">
        <v>414</v>
      </c>
      <c r="G420">
        <v>8</v>
      </c>
      <c r="H420">
        <v>92</v>
      </c>
      <c r="I420" t="s">
        <v>1294</v>
      </c>
      <c r="J420" s="3">
        <v>263488</v>
      </c>
      <c r="K420" t="s">
        <v>1295</v>
      </c>
      <c r="M420" s="3" t="str">
        <f>IF(I420="Billy Wilder", "Must Watch", IF(I420="John Ford", "Watch", "Maybe"))</f>
        <v>Maybe</v>
      </c>
    </row>
    <row r="421" spans="1:13" x14ac:dyDescent="0.25">
      <c r="A421">
        <v>420</v>
      </c>
      <c r="B421" t="s">
        <v>1296</v>
      </c>
      <c r="C421">
        <v>-1975</v>
      </c>
      <c r="D421" t="s">
        <v>24</v>
      </c>
      <c r="E421" t="s">
        <v>119</v>
      </c>
      <c r="F421" t="s">
        <v>95</v>
      </c>
      <c r="G421">
        <v>8</v>
      </c>
      <c r="H421">
        <v>86</v>
      </c>
      <c r="I421" t="s">
        <v>51</v>
      </c>
      <c r="J421" s="3">
        <v>253685</v>
      </c>
      <c r="K421" t="s">
        <v>1297</v>
      </c>
      <c r="M421" s="3" t="str">
        <f>IF(I421="Billy Wilder", "Must Watch", IF(I421="John Ford", "Watch", "Maybe"))</f>
        <v>Maybe</v>
      </c>
    </row>
    <row r="422" spans="1:13" x14ac:dyDescent="0.25">
      <c r="A422">
        <v>421</v>
      </c>
      <c r="B422" t="s">
        <v>1298</v>
      </c>
      <c r="C422">
        <v>-1975</v>
      </c>
      <c r="D422" t="s">
        <v>49</v>
      </c>
      <c r="E422" t="s">
        <v>493</v>
      </c>
      <c r="F422" t="s">
        <v>606</v>
      </c>
      <c r="G422">
        <v>8</v>
      </c>
      <c r="H422">
        <v>80</v>
      </c>
      <c r="I422" t="s">
        <v>957</v>
      </c>
      <c r="J422" s="3">
        <v>45990</v>
      </c>
      <c r="K422" t="s">
        <v>1299</v>
      </c>
      <c r="M422" s="3" t="str">
        <f>IF(I422="Billy Wilder", "Must Watch", IF(I422="John Ford", "Watch", "Maybe"))</f>
        <v>Maybe</v>
      </c>
    </row>
    <row r="423" spans="1:13" x14ac:dyDescent="0.25">
      <c r="A423">
        <v>422</v>
      </c>
      <c r="B423" t="s">
        <v>1300</v>
      </c>
      <c r="C423">
        <v>-1974</v>
      </c>
      <c r="D423" t="s">
        <v>236</v>
      </c>
      <c r="E423" t="s">
        <v>171</v>
      </c>
      <c r="F423" t="s">
        <v>1287</v>
      </c>
      <c r="G423">
        <v>8</v>
      </c>
      <c r="H423">
        <v>80</v>
      </c>
      <c r="I423" t="s">
        <v>1301</v>
      </c>
      <c r="J423" s="3">
        <v>156395</v>
      </c>
      <c r="K423" t="s">
        <v>1302</v>
      </c>
      <c r="M423" s="3" t="str">
        <f>IF(I423="Billy Wilder", "Must Watch", IF(I423="John Ford", "Watch", "Maybe"))</f>
        <v>Maybe</v>
      </c>
    </row>
    <row r="424" spans="1:13" x14ac:dyDescent="0.25">
      <c r="A424">
        <v>423</v>
      </c>
      <c r="B424" t="s">
        <v>1303</v>
      </c>
      <c r="C424">
        <v>-1973</v>
      </c>
      <c r="D424">
        <v>15</v>
      </c>
      <c r="E424" t="s">
        <v>190</v>
      </c>
      <c r="F424" t="s">
        <v>95</v>
      </c>
      <c r="G424">
        <v>8</v>
      </c>
      <c r="H424">
        <v>58</v>
      </c>
      <c r="I424" t="s">
        <v>1304</v>
      </c>
      <c r="J424" s="3">
        <v>129631</v>
      </c>
      <c r="K424" t="s">
        <v>1305</v>
      </c>
      <c r="M424" s="3" t="str">
        <f>IF(I424="Billy Wilder", "Must Watch", IF(I424="John Ford", "Watch", "Maybe"))</f>
        <v>Maybe</v>
      </c>
    </row>
    <row r="425" spans="1:13" x14ac:dyDescent="0.25">
      <c r="A425">
        <v>424</v>
      </c>
      <c r="B425" t="s">
        <v>1306</v>
      </c>
      <c r="C425">
        <v>-1972</v>
      </c>
      <c r="D425" t="s">
        <v>24</v>
      </c>
      <c r="E425" t="s">
        <v>658</v>
      </c>
      <c r="F425" t="s">
        <v>20</v>
      </c>
      <c r="G425">
        <v>8</v>
      </c>
      <c r="I425" t="s">
        <v>952</v>
      </c>
      <c r="J425" s="3">
        <v>33926</v>
      </c>
      <c r="K425" t="s">
        <v>1307</v>
      </c>
      <c r="M425" s="3" t="str">
        <f>IF(I425="Billy Wilder", "Must Watch", IF(I425="John Ford", "Watch", "Maybe"))</f>
        <v>Maybe</v>
      </c>
    </row>
    <row r="426" spans="1:13" x14ac:dyDescent="0.25">
      <c r="A426">
        <v>425</v>
      </c>
      <c r="B426" t="s">
        <v>1308</v>
      </c>
      <c r="C426">
        <v>-1972</v>
      </c>
      <c r="D426" t="s">
        <v>155</v>
      </c>
      <c r="E426" t="s">
        <v>534</v>
      </c>
      <c r="F426" t="s">
        <v>187</v>
      </c>
      <c r="G426">
        <v>8</v>
      </c>
      <c r="H426">
        <v>90</v>
      </c>
      <c r="I426" t="s">
        <v>957</v>
      </c>
      <c r="J426" s="3">
        <v>90196</v>
      </c>
      <c r="M426" s="3" t="str">
        <f>IF(I426="Billy Wilder", "Must Watch", IF(I426="John Ford", "Watch", "Maybe"))</f>
        <v>Maybe</v>
      </c>
    </row>
    <row r="427" spans="1:13" x14ac:dyDescent="0.25">
      <c r="A427">
        <v>426</v>
      </c>
      <c r="B427" t="s">
        <v>1309</v>
      </c>
      <c r="C427">
        <v>-1972</v>
      </c>
      <c r="D427" t="s">
        <v>236</v>
      </c>
      <c r="E427" t="s">
        <v>515</v>
      </c>
      <c r="F427" t="s">
        <v>246</v>
      </c>
      <c r="G427">
        <v>8</v>
      </c>
      <c r="I427" t="s">
        <v>695</v>
      </c>
      <c r="J427" s="3">
        <v>47512</v>
      </c>
      <c r="K427" t="s">
        <v>1310</v>
      </c>
      <c r="M427" s="3" t="str">
        <f>IF(I427="Billy Wilder", "Must Watch", IF(I427="John Ford", "Watch", "Maybe"))</f>
        <v>Maybe</v>
      </c>
    </row>
    <row r="428" spans="1:13" x14ac:dyDescent="0.25">
      <c r="A428">
        <v>427</v>
      </c>
      <c r="B428" t="s">
        <v>1311</v>
      </c>
      <c r="C428">
        <v>-1971</v>
      </c>
      <c r="D428" t="s">
        <v>24</v>
      </c>
      <c r="E428" t="s">
        <v>143</v>
      </c>
      <c r="F428" t="s">
        <v>78</v>
      </c>
      <c r="G428">
        <v>8</v>
      </c>
      <c r="H428">
        <v>93</v>
      </c>
      <c r="I428" t="s">
        <v>979</v>
      </c>
      <c r="J428" s="3">
        <v>47929</v>
      </c>
      <c r="K428" t="s">
        <v>1312</v>
      </c>
      <c r="M428" s="3" t="str">
        <f>IF(I428="Billy Wilder", "Must Watch", IF(I428="John Ford", "Watch", "Maybe"))</f>
        <v>Maybe</v>
      </c>
    </row>
    <row r="429" spans="1:13" x14ac:dyDescent="0.25">
      <c r="A429">
        <v>428</v>
      </c>
      <c r="B429" t="s">
        <v>1313</v>
      </c>
      <c r="C429">
        <v>-1971</v>
      </c>
      <c r="D429" t="s">
        <v>49</v>
      </c>
      <c r="E429" t="s">
        <v>283</v>
      </c>
      <c r="F429" t="s">
        <v>1314</v>
      </c>
      <c r="G429">
        <v>8</v>
      </c>
      <c r="H429">
        <v>67</v>
      </c>
      <c r="I429" t="s">
        <v>1315</v>
      </c>
      <c r="J429" s="3">
        <v>43297</v>
      </c>
      <c r="K429" t="s">
        <v>1316</v>
      </c>
      <c r="M429" s="3" t="str">
        <f>IF(I429="Billy Wilder", "Must Watch", IF(I429="John Ford", "Watch", "Maybe"))</f>
        <v>Maybe</v>
      </c>
    </row>
    <row r="430" spans="1:13" x14ac:dyDescent="0.25">
      <c r="A430">
        <v>429</v>
      </c>
      <c r="B430" t="s">
        <v>1317</v>
      </c>
      <c r="C430">
        <v>-1969</v>
      </c>
      <c r="D430" t="s">
        <v>155</v>
      </c>
      <c r="E430" t="s">
        <v>209</v>
      </c>
      <c r="F430" t="s">
        <v>95</v>
      </c>
      <c r="G430">
        <v>8</v>
      </c>
      <c r="H430">
        <v>66</v>
      </c>
      <c r="I430" t="s">
        <v>454</v>
      </c>
      <c r="J430" s="3">
        <v>213977</v>
      </c>
      <c r="K430" t="s">
        <v>1318</v>
      </c>
      <c r="M430" s="3" t="str">
        <f>IF(I430="Billy Wilder", "Must Watch", IF(I430="John Ford", "Watch", "Maybe"))</f>
        <v>Maybe</v>
      </c>
    </row>
    <row r="431" spans="1:13" x14ac:dyDescent="0.25">
      <c r="A431">
        <v>430</v>
      </c>
      <c r="B431" t="s">
        <v>1319</v>
      </c>
      <c r="C431">
        <v>-1968</v>
      </c>
      <c r="D431">
        <v>18</v>
      </c>
      <c r="E431" t="s">
        <v>139</v>
      </c>
      <c r="F431" t="s">
        <v>350</v>
      </c>
      <c r="G431">
        <v>8</v>
      </c>
      <c r="H431">
        <v>96</v>
      </c>
      <c r="I431" t="s">
        <v>195</v>
      </c>
      <c r="J431" s="3">
        <v>212100</v>
      </c>
      <c r="M431" s="3" t="str">
        <f>IF(I431="Billy Wilder", "Must Watch", IF(I431="John Ford", "Watch", "Maybe"))</f>
        <v>Maybe</v>
      </c>
    </row>
    <row r="432" spans="1:13" x14ac:dyDescent="0.25">
      <c r="A432">
        <v>431</v>
      </c>
      <c r="B432" t="s">
        <v>1320</v>
      </c>
      <c r="C432">
        <v>-1968</v>
      </c>
      <c r="D432" t="s">
        <v>155</v>
      </c>
      <c r="E432" t="s">
        <v>176</v>
      </c>
      <c r="F432" t="s">
        <v>460</v>
      </c>
      <c r="G432">
        <v>8</v>
      </c>
      <c r="H432">
        <v>79</v>
      </c>
      <c r="I432" t="s">
        <v>1304</v>
      </c>
      <c r="J432" s="3">
        <v>178361</v>
      </c>
      <c r="K432" t="s">
        <v>1321</v>
      </c>
      <c r="M432" s="3" t="str">
        <f>IF(I432="Billy Wilder", "Must Watch", IF(I432="John Ford", "Watch", "Maybe"))</f>
        <v>Maybe</v>
      </c>
    </row>
    <row r="433" spans="1:13" x14ac:dyDescent="0.25">
      <c r="A433">
        <v>432</v>
      </c>
      <c r="B433" t="s">
        <v>1322</v>
      </c>
      <c r="C433">
        <v>-1967</v>
      </c>
      <c r="D433" t="s">
        <v>155</v>
      </c>
      <c r="E433" t="s">
        <v>291</v>
      </c>
      <c r="F433" t="s">
        <v>26</v>
      </c>
      <c r="G433">
        <v>8</v>
      </c>
      <c r="I433" t="s">
        <v>1323</v>
      </c>
      <c r="J433" s="3">
        <v>50881</v>
      </c>
      <c r="K433" t="s">
        <v>555</v>
      </c>
      <c r="M433" s="3" t="str">
        <f>IF(I433="Billy Wilder", "Must Watch", IF(I433="John Ford", "Watch", "Maybe"))</f>
        <v>Maybe</v>
      </c>
    </row>
    <row r="434" spans="1:13" x14ac:dyDescent="0.25">
      <c r="A434">
        <v>433</v>
      </c>
      <c r="B434" t="s">
        <v>1324</v>
      </c>
      <c r="C434">
        <v>-1967</v>
      </c>
      <c r="D434" t="s">
        <v>24</v>
      </c>
      <c r="E434" t="s">
        <v>171</v>
      </c>
      <c r="F434" t="s">
        <v>132</v>
      </c>
      <c r="G434">
        <v>8</v>
      </c>
      <c r="H434">
        <v>83</v>
      </c>
      <c r="I434" t="s">
        <v>1325</v>
      </c>
      <c r="J434" s="3">
        <v>270582</v>
      </c>
      <c r="K434" t="s">
        <v>1326</v>
      </c>
      <c r="M434" s="3" t="str">
        <f>IF(I434="Billy Wilder", "Must Watch", IF(I434="John Ford", "Watch", "Maybe"))</f>
        <v>Maybe</v>
      </c>
    </row>
    <row r="435" spans="1:13" x14ac:dyDescent="0.25">
      <c r="A435">
        <v>434</v>
      </c>
      <c r="B435" t="s">
        <v>1327</v>
      </c>
      <c r="C435">
        <v>-1966</v>
      </c>
      <c r="D435" t="s">
        <v>24</v>
      </c>
      <c r="E435" t="s">
        <v>388</v>
      </c>
      <c r="F435" t="s">
        <v>20</v>
      </c>
      <c r="G435">
        <v>8</v>
      </c>
      <c r="H435">
        <v>75</v>
      </c>
      <c r="I435" t="s">
        <v>1325</v>
      </c>
      <c r="J435" s="3">
        <v>74719</v>
      </c>
      <c r="M435" s="3" t="str">
        <f>IF(I435="Billy Wilder", "Must Watch", IF(I435="John Ford", "Watch", "Maybe"))</f>
        <v>Maybe</v>
      </c>
    </row>
    <row r="436" spans="1:13" x14ac:dyDescent="0.25">
      <c r="A436">
        <v>435</v>
      </c>
      <c r="B436" t="s">
        <v>1328</v>
      </c>
      <c r="C436">
        <v>-1966</v>
      </c>
      <c r="D436" t="s">
        <v>236</v>
      </c>
      <c r="E436" t="s">
        <v>1329</v>
      </c>
      <c r="F436" t="s">
        <v>42</v>
      </c>
      <c r="G436">
        <v>8</v>
      </c>
      <c r="I436" t="s">
        <v>957</v>
      </c>
      <c r="J436" s="3">
        <v>53155</v>
      </c>
      <c r="K436" t="s">
        <v>693</v>
      </c>
      <c r="M436" s="3" t="str">
        <f>IF(I436="Billy Wilder", "Must Watch", IF(I436="John Ford", "Watch", "Maybe"))</f>
        <v>Maybe</v>
      </c>
    </row>
    <row r="437" spans="1:13" x14ac:dyDescent="0.25">
      <c r="A437">
        <v>436</v>
      </c>
      <c r="B437" t="s">
        <v>1330</v>
      </c>
      <c r="C437">
        <v>-1963</v>
      </c>
      <c r="D437" t="s">
        <v>49</v>
      </c>
      <c r="E437" t="s">
        <v>541</v>
      </c>
      <c r="F437" t="s">
        <v>1016</v>
      </c>
      <c r="G437">
        <v>8</v>
      </c>
      <c r="H437">
        <v>100</v>
      </c>
      <c r="I437" t="s">
        <v>1331</v>
      </c>
      <c r="J437" s="3">
        <v>25747</v>
      </c>
      <c r="M437" s="3" t="str">
        <f>IF(I437="Billy Wilder", "Must Watch", IF(I437="John Ford", "Watch", "Maybe"))</f>
        <v>Maybe</v>
      </c>
    </row>
    <row r="438" spans="1:13" x14ac:dyDescent="0.25">
      <c r="A438">
        <v>437</v>
      </c>
      <c r="B438" t="s">
        <v>1332</v>
      </c>
      <c r="C438">
        <v>-1963</v>
      </c>
      <c r="D438" t="s">
        <v>155</v>
      </c>
      <c r="E438" t="s">
        <v>515</v>
      </c>
      <c r="F438" t="s">
        <v>20</v>
      </c>
      <c r="G438">
        <v>8</v>
      </c>
      <c r="H438">
        <v>91</v>
      </c>
      <c r="I438" t="s">
        <v>1013</v>
      </c>
      <c r="J438" s="3">
        <v>116903</v>
      </c>
      <c r="K438" t="s">
        <v>1333</v>
      </c>
      <c r="M438" s="3" t="str">
        <f>IF(I438="Billy Wilder", "Must Watch", IF(I438="John Ford", "Watch", "Maybe"))</f>
        <v>Maybe</v>
      </c>
    </row>
    <row r="439" spans="1:13" x14ac:dyDescent="0.25">
      <c r="A439">
        <v>438</v>
      </c>
      <c r="B439" t="s">
        <v>1334</v>
      </c>
      <c r="C439">
        <v>-1962</v>
      </c>
      <c r="D439" t="s">
        <v>24</v>
      </c>
      <c r="E439" t="s">
        <v>356</v>
      </c>
      <c r="F439" t="s">
        <v>1011</v>
      </c>
      <c r="G439">
        <v>8</v>
      </c>
      <c r="I439" t="s">
        <v>1335</v>
      </c>
      <c r="J439" s="3">
        <v>32884</v>
      </c>
      <c r="M439" s="3" t="str">
        <f>IF(I439="Billy Wilder", "Must Watch", IF(I439="John Ford", "Watch", "Maybe"))</f>
        <v>Maybe</v>
      </c>
    </row>
    <row r="440" spans="1:13" x14ac:dyDescent="0.25">
      <c r="A440">
        <v>439</v>
      </c>
      <c r="B440" t="s">
        <v>1336</v>
      </c>
      <c r="C440">
        <v>-1962</v>
      </c>
      <c r="D440">
        <v>18</v>
      </c>
      <c r="E440" t="s">
        <v>331</v>
      </c>
      <c r="F440" t="s">
        <v>1337</v>
      </c>
      <c r="G440">
        <v>8</v>
      </c>
      <c r="H440">
        <v>75</v>
      </c>
      <c r="I440" t="s">
        <v>1338</v>
      </c>
      <c r="J440" s="3">
        <v>55412</v>
      </c>
      <c r="K440" t="s">
        <v>1339</v>
      </c>
      <c r="M440" s="3" t="str">
        <f>IF(I440="Billy Wilder", "Must Watch", IF(I440="John Ford", "Watch", "Maybe"))</f>
        <v>Maybe</v>
      </c>
    </row>
    <row r="441" spans="1:13" x14ac:dyDescent="0.25">
      <c r="A441">
        <v>440</v>
      </c>
      <c r="B441" t="s">
        <v>1340</v>
      </c>
      <c r="C441">
        <v>-1962</v>
      </c>
      <c r="D441" t="s">
        <v>155</v>
      </c>
      <c r="E441" t="s">
        <v>50</v>
      </c>
      <c r="F441" t="s">
        <v>676</v>
      </c>
      <c r="G441">
        <v>8</v>
      </c>
      <c r="I441" t="s">
        <v>157</v>
      </c>
      <c r="J441" s="3">
        <v>37930</v>
      </c>
      <c r="M441" s="3" t="str">
        <f>IF(I441="Billy Wilder", "Must Watch", IF(I441="John Ford", "Watch", "Maybe"))</f>
        <v>Maybe</v>
      </c>
    </row>
    <row r="442" spans="1:13" x14ac:dyDescent="0.25">
      <c r="A442">
        <v>441</v>
      </c>
      <c r="B442" t="s">
        <v>1341</v>
      </c>
      <c r="C442">
        <v>-1962</v>
      </c>
      <c r="D442" t="s">
        <v>155</v>
      </c>
      <c r="E442" t="s">
        <v>356</v>
      </c>
      <c r="F442" t="s">
        <v>124</v>
      </c>
      <c r="G442">
        <v>8</v>
      </c>
      <c r="I442" t="s">
        <v>957</v>
      </c>
      <c r="J442" s="3">
        <v>36169</v>
      </c>
      <c r="M442" s="3" t="str">
        <f>IF(I442="Billy Wilder", "Must Watch", IF(I442="John Ford", "Watch", "Maybe"))</f>
        <v>Maybe</v>
      </c>
    </row>
    <row r="443" spans="1:13" x14ac:dyDescent="0.25">
      <c r="A443">
        <v>442</v>
      </c>
      <c r="B443" t="s">
        <v>1342</v>
      </c>
      <c r="C443">
        <v>-1961</v>
      </c>
      <c r="D443" t="s">
        <v>24</v>
      </c>
      <c r="E443" t="s">
        <v>331</v>
      </c>
      <c r="F443" t="s">
        <v>842</v>
      </c>
      <c r="G443">
        <v>8</v>
      </c>
      <c r="H443">
        <v>90</v>
      </c>
      <c r="I443" t="s">
        <v>1343</v>
      </c>
      <c r="J443" s="3">
        <v>81396</v>
      </c>
      <c r="K443" t="s">
        <v>1344</v>
      </c>
      <c r="M443" s="3" t="str">
        <f>IF(I443="Billy Wilder", "Must Watch", IF(I443="John Ford", "Watch", "Maybe"))</f>
        <v>Maybe</v>
      </c>
    </row>
    <row r="444" spans="1:13" x14ac:dyDescent="0.25">
      <c r="A444">
        <v>443</v>
      </c>
      <c r="B444" t="s">
        <v>1345</v>
      </c>
      <c r="C444">
        <v>-1960</v>
      </c>
      <c r="D444" t="s">
        <v>24</v>
      </c>
      <c r="E444" t="s">
        <v>880</v>
      </c>
      <c r="F444" t="s">
        <v>304</v>
      </c>
      <c r="G444">
        <v>8</v>
      </c>
      <c r="H444">
        <v>95</v>
      </c>
      <c r="I444" t="s">
        <v>1013</v>
      </c>
      <c r="J444" s="3">
        <v>72469</v>
      </c>
      <c r="K444" t="s">
        <v>1346</v>
      </c>
      <c r="M444" s="3" t="str">
        <f>IF(I444="Billy Wilder", "Must Watch", IF(I444="John Ford", "Watch", "Maybe"))</f>
        <v>Maybe</v>
      </c>
    </row>
    <row r="445" spans="1:13" x14ac:dyDescent="0.25">
      <c r="A445">
        <v>444</v>
      </c>
      <c r="B445" t="s">
        <v>1347</v>
      </c>
      <c r="C445">
        <v>-1959</v>
      </c>
      <c r="D445" t="s">
        <v>74</v>
      </c>
      <c r="E445" t="s">
        <v>163</v>
      </c>
      <c r="F445" t="s">
        <v>238</v>
      </c>
      <c r="G445">
        <v>8</v>
      </c>
      <c r="H445">
        <v>93</v>
      </c>
      <c r="I445" t="s">
        <v>1348</v>
      </c>
      <c r="J445" s="3">
        <v>61951</v>
      </c>
      <c r="K445" t="s">
        <v>1349</v>
      </c>
      <c r="M445" s="3" t="str">
        <f>IF(I445="Billy Wilder", "Must Watch", IF(I445="John Ford", "Watch", "Maybe"))</f>
        <v>Maybe</v>
      </c>
    </row>
    <row r="446" spans="1:13" x14ac:dyDescent="0.25">
      <c r="A446">
        <v>445</v>
      </c>
      <c r="B446" t="s">
        <v>1350</v>
      </c>
      <c r="C446">
        <v>-1959</v>
      </c>
      <c r="D446" t="s">
        <v>24</v>
      </c>
      <c r="E446" t="s">
        <v>376</v>
      </c>
      <c r="F446" t="s">
        <v>389</v>
      </c>
      <c r="G446">
        <v>8</v>
      </c>
      <c r="H446">
        <v>95</v>
      </c>
      <c r="I446" t="s">
        <v>1351</v>
      </c>
      <c r="J446" s="3">
        <v>65870</v>
      </c>
      <c r="K446" t="s">
        <v>1352</v>
      </c>
      <c r="M446" s="3" t="str">
        <f>IF(I446="Billy Wilder", "Must Watch", IF(I446="John Ford", "Watch", "Maybe"))</f>
        <v>Maybe</v>
      </c>
    </row>
    <row r="447" spans="1:13" x14ac:dyDescent="0.25">
      <c r="A447">
        <v>446</v>
      </c>
      <c r="B447" t="s">
        <v>1353</v>
      </c>
      <c r="C447">
        <v>-1958</v>
      </c>
      <c r="D447" t="s">
        <v>155</v>
      </c>
      <c r="E447" t="s">
        <v>356</v>
      </c>
      <c r="F447" t="s">
        <v>494</v>
      </c>
      <c r="G447">
        <v>8</v>
      </c>
      <c r="H447">
        <v>99</v>
      </c>
      <c r="I447" t="s">
        <v>497</v>
      </c>
      <c r="J447" s="3">
        <v>103820</v>
      </c>
      <c r="K447" t="s">
        <v>1354</v>
      </c>
      <c r="M447" s="3" t="str">
        <f>IF(I447="Billy Wilder", "Must Watch", IF(I447="John Ford", "Watch", "Maybe"))</f>
        <v>Maybe</v>
      </c>
    </row>
    <row r="448" spans="1:13" x14ac:dyDescent="0.25">
      <c r="A448">
        <v>447</v>
      </c>
      <c r="B448" t="s">
        <v>1355</v>
      </c>
      <c r="C448">
        <v>-1957</v>
      </c>
      <c r="D448" t="s">
        <v>155</v>
      </c>
      <c r="E448" t="s">
        <v>50</v>
      </c>
      <c r="F448" t="s">
        <v>364</v>
      </c>
      <c r="G448">
        <v>8</v>
      </c>
      <c r="H448">
        <v>100</v>
      </c>
      <c r="I448" t="s">
        <v>1356</v>
      </c>
      <c r="J448" s="3">
        <v>31683</v>
      </c>
      <c r="M448" s="3" t="str">
        <f>IF(I448="Billy Wilder", "Must Watch", IF(I448="John Ford", "Watch", "Maybe"))</f>
        <v>Maybe</v>
      </c>
    </row>
    <row r="449" spans="1:13" x14ac:dyDescent="0.25">
      <c r="A449">
        <v>448</v>
      </c>
      <c r="B449" t="s">
        <v>1357</v>
      </c>
      <c r="C449">
        <v>-1956</v>
      </c>
      <c r="D449" t="s">
        <v>155</v>
      </c>
      <c r="E449" t="s">
        <v>1251</v>
      </c>
      <c r="F449" t="s">
        <v>494</v>
      </c>
      <c r="G449">
        <v>8</v>
      </c>
      <c r="H449">
        <v>91</v>
      </c>
      <c r="I449" t="s">
        <v>351</v>
      </c>
      <c r="J449" s="3">
        <v>88932</v>
      </c>
      <c r="M449" s="3" t="str">
        <f>IF(I449="Billy Wilder", "Must Watch", IF(I449="John Ford", "Watch", "Maybe"))</f>
        <v>Maybe</v>
      </c>
    </row>
    <row r="450" spans="1:13" x14ac:dyDescent="0.25">
      <c r="A450">
        <v>449</v>
      </c>
      <c r="B450" t="s">
        <v>1358</v>
      </c>
      <c r="C450">
        <v>-1955</v>
      </c>
      <c r="D450" t="s">
        <v>24</v>
      </c>
      <c r="E450" t="s">
        <v>827</v>
      </c>
      <c r="F450" t="s">
        <v>494</v>
      </c>
      <c r="G450">
        <v>8</v>
      </c>
      <c r="H450">
        <v>99</v>
      </c>
      <c r="I450" t="s">
        <v>1359</v>
      </c>
      <c r="J450" s="3">
        <v>88659</v>
      </c>
      <c r="K450" t="s">
        <v>1360</v>
      </c>
      <c r="M450" s="3" t="str">
        <f>IF(I450="Billy Wilder", "Must Watch", IF(I450="John Ford", "Watch", "Maybe"))</f>
        <v>Maybe</v>
      </c>
    </row>
    <row r="451" spans="1:13" x14ac:dyDescent="0.25">
      <c r="A451">
        <v>450</v>
      </c>
      <c r="B451" t="s">
        <v>1361</v>
      </c>
      <c r="C451">
        <v>-1954</v>
      </c>
      <c r="D451" t="s">
        <v>155</v>
      </c>
      <c r="E451" t="s">
        <v>409</v>
      </c>
      <c r="F451" t="s">
        <v>20</v>
      </c>
      <c r="G451">
        <v>8</v>
      </c>
      <c r="I451" t="s">
        <v>1013</v>
      </c>
      <c r="J451" s="3">
        <v>62797</v>
      </c>
      <c r="M451" s="3" t="str">
        <f>IF(I451="Billy Wilder", "Must Watch", IF(I451="John Ford", "Watch", "Maybe"))</f>
        <v>Maybe</v>
      </c>
    </row>
    <row r="452" spans="1:13" x14ac:dyDescent="0.25">
      <c r="A452">
        <v>451</v>
      </c>
      <c r="B452" t="s">
        <v>1362</v>
      </c>
      <c r="C452">
        <v>-1953</v>
      </c>
      <c r="D452" t="s">
        <v>155</v>
      </c>
      <c r="E452" t="s">
        <v>811</v>
      </c>
      <c r="F452" t="s">
        <v>366</v>
      </c>
      <c r="G452">
        <v>8</v>
      </c>
      <c r="H452">
        <v>84</v>
      </c>
      <c r="I452" t="s">
        <v>360</v>
      </c>
      <c r="J452" s="3">
        <v>55562</v>
      </c>
      <c r="M452" s="3" t="str">
        <f>IF(I452="Billy Wilder", "Must Watch", IF(I452="John Ford", "Watch", "Maybe"))</f>
        <v>Must Watch</v>
      </c>
    </row>
    <row r="453" spans="1:13" x14ac:dyDescent="0.25">
      <c r="A453">
        <v>452</v>
      </c>
      <c r="B453" t="s">
        <v>1363</v>
      </c>
      <c r="C453">
        <v>-1953</v>
      </c>
      <c r="D453" t="s">
        <v>49</v>
      </c>
      <c r="E453" t="s">
        <v>143</v>
      </c>
      <c r="F453" t="s">
        <v>414</v>
      </c>
      <c r="G453">
        <v>8</v>
      </c>
      <c r="H453">
        <v>78</v>
      </c>
      <c r="I453" t="s">
        <v>1006</v>
      </c>
      <c r="J453" s="3">
        <v>137222</v>
      </c>
      <c r="M453" s="3" t="str">
        <f>IF(I453="Billy Wilder", "Must Watch", IF(I453="John Ford", "Watch", "Maybe"))</f>
        <v>Maybe</v>
      </c>
    </row>
    <row r="454" spans="1:13" x14ac:dyDescent="0.25">
      <c r="A454">
        <v>453</v>
      </c>
      <c r="B454" t="s">
        <v>1364</v>
      </c>
      <c r="C454">
        <v>-1952</v>
      </c>
      <c r="D454" t="s">
        <v>49</v>
      </c>
      <c r="E454" t="s">
        <v>991</v>
      </c>
      <c r="F454" t="s">
        <v>1365</v>
      </c>
      <c r="G454">
        <v>8</v>
      </c>
      <c r="H454">
        <v>89</v>
      </c>
      <c r="I454" t="s">
        <v>1366</v>
      </c>
      <c r="J454" s="3">
        <v>103513</v>
      </c>
      <c r="K454" t="s">
        <v>1367</v>
      </c>
      <c r="M454" s="3" t="str">
        <f>IF(I454="Billy Wilder", "Must Watch", IF(I454="John Ford", "Watch", "Maybe"))</f>
        <v>Maybe</v>
      </c>
    </row>
    <row r="455" spans="1:13" x14ac:dyDescent="0.25">
      <c r="A455">
        <v>454</v>
      </c>
      <c r="B455" t="s">
        <v>1368</v>
      </c>
      <c r="C455">
        <v>-1949</v>
      </c>
      <c r="D455" t="s">
        <v>49</v>
      </c>
      <c r="E455" t="s">
        <v>171</v>
      </c>
      <c r="F455" t="s">
        <v>419</v>
      </c>
      <c r="G455">
        <v>8</v>
      </c>
      <c r="I455" t="s">
        <v>1369</v>
      </c>
      <c r="J455" s="3">
        <v>37190</v>
      </c>
      <c r="M455" s="3" t="str">
        <f>IF(I455="Billy Wilder", "Must Watch", IF(I455="John Ford", "Watch", "Maybe"))</f>
        <v>Maybe</v>
      </c>
    </row>
    <row r="456" spans="1:13" x14ac:dyDescent="0.25">
      <c r="A456">
        <v>455</v>
      </c>
      <c r="B456" t="s">
        <v>1370</v>
      </c>
      <c r="C456">
        <v>-1947</v>
      </c>
      <c r="D456" t="s">
        <v>155</v>
      </c>
      <c r="E456" t="s">
        <v>576</v>
      </c>
      <c r="F456" t="s">
        <v>494</v>
      </c>
      <c r="G456">
        <v>8</v>
      </c>
      <c r="I456" t="s">
        <v>1371</v>
      </c>
      <c r="J456" s="3">
        <v>36920</v>
      </c>
      <c r="M456" s="3" t="str">
        <f>IF(I456="Billy Wilder", "Must Watch", IF(I456="John Ford", "Watch", "Maybe"))</f>
        <v>Maybe</v>
      </c>
    </row>
    <row r="457" spans="1:13" x14ac:dyDescent="0.25">
      <c r="A457">
        <v>456</v>
      </c>
      <c r="B457" t="s">
        <v>1372</v>
      </c>
      <c r="C457">
        <v>-1945</v>
      </c>
      <c r="D457" t="s">
        <v>155</v>
      </c>
      <c r="E457" t="s">
        <v>403</v>
      </c>
      <c r="F457" t="s">
        <v>441</v>
      </c>
      <c r="G457">
        <v>8</v>
      </c>
      <c r="I457" t="s">
        <v>1373</v>
      </c>
      <c r="J457" s="3">
        <v>26374</v>
      </c>
      <c r="M457" s="3" t="str">
        <f>IF(I457="Billy Wilder", "Must Watch", IF(I457="John Ford", "Watch", "Maybe"))</f>
        <v>Maybe</v>
      </c>
    </row>
    <row r="458" spans="1:13" x14ac:dyDescent="0.25">
      <c r="A458">
        <v>457</v>
      </c>
      <c r="B458" t="s">
        <v>1374</v>
      </c>
      <c r="C458">
        <v>-1945</v>
      </c>
      <c r="D458" t="s">
        <v>155</v>
      </c>
      <c r="E458" t="s">
        <v>610</v>
      </c>
      <c r="F458" t="s">
        <v>494</v>
      </c>
      <c r="G458">
        <v>8</v>
      </c>
      <c r="H458">
        <v>88</v>
      </c>
      <c r="I458" t="s">
        <v>251</v>
      </c>
      <c r="J458" s="3">
        <v>25737</v>
      </c>
      <c r="M458" s="3" t="str">
        <f>IF(I458="Billy Wilder", "Must Watch", IF(I458="John Ford", "Watch", "Maybe"))</f>
        <v>Maybe</v>
      </c>
    </row>
    <row r="459" spans="1:13" x14ac:dyDescent="0.25">
      <c r="A459">
        <v>458</v>
      </c>
      <c r="B459" t="s">
        <v>1375</v>
      </c>
      <c r="C459">
        <v>-1945</v>
      </c>
      <c r="D459" t="s">
        <v>155</v>
      </c>
      <c r="E459" t="s">
        <v>890</v>
      </c>
      <c r="F459" t="s">
        <v>78</v>
      </c>
      <c r="G459">
        <v>8</v>
      </c>
      <c r="H459">
        <v>92</v>
      </c>
      <c r="I459" t="s">
        <v>467</v>
      </c>
      <c r="J459" s="3">
        <v>39851</v>
      </c>
      <c r="M459" s="3" t="str">
        <f>IF(I459="Billy Wilder", "Must Watch", IF(I459="John Ford", "Watch", "Maybe"))</f>
        <v>Maybe</v>
      </c>
    </row>
    <row r="460" spans="1:13" x14ac:dyDescent="0.25">
      <c r="A460">
        <v>459</v>
      </c>
      <c r="B460" t="s">
        <v>1376</v>
      </c>
      <c r="C460">
        <v>-1941</v>
      </c>
      <c r="D460" t="s">
        <v>155</v>
      </c>
      <c r="E460" t="s">
        <v>613</v>
      </c>
      <c r="F460" t="s">
        <v>1377</v>
      </c>
      <c r="G460">
        <v>8</v>
      </c>
      <c r="H460">
        <v>97</v>
      </c>
      <c r="I460" t="s">
        <v>698</v>
      </c>
      <c r="J460" s="3">
        <v>157276</v>
      </c>
      <c r="K460" t="s">
        <v>1378</v>
      </c>
      <c r="M460" s="3" t="str">
        <f>IF(I460="Billy Wilder", "Must Watch", IF(I460="John Ford", "Watch", "Maybe"))</f>
        <v>Maybe</v>
      </c>
    </row>
    <row r="461" spans="1:13" x14ac:dyDescent="0.25">
      <c r="A461">
        <v>460</v>
      </c>
      <c r="B461" t="s">
        <v>1379</v>
      </c>
      <c r="C461">
        <v>-1925</v>
      </c>
      <c r="D461" t="s">
        <v>1380</v>
      </c>
      <c r="E461" t="s">
        <v>1381</v>
      </c>
      <c r="F461" t="s">
        <v>1248</v>
      </c>
      <c r="G461">
        <v>8</v>
      </c>
      <c r="H461">
        <v>97</v>
      </c>
      <c r="I461" t="s">
        <v>1382</v>
      </c>
      <c r="J461" s="3">
        <v>57282</v>
      </c>
      <c r="K461" t="s">
        <v>1333</v>
      </c>
      <c r="M461" s="3" t="str">
        <f>IF(I461="Billy Wilder", "Must Watch", IF(I461="John Ford", "Watch", "Maybe"))</f>
        <v>Maybe</v>
      </c>
    </row>
    <row r="462" spans="1:13" x14ac:dyDescent="0.25">
      <c r="A462">
        <v>461</v>
      </c>
      <c r="B462" t="s">
        <v>1383</v>
      </c>
      <c r="C462">
        <v>-1920</v>
      </c>
      <c r="D462" t="s">
        <v>155</v>
      </c>
      <c r="E462" t="s">
        <v>1384</v>
      </c>
      <c r="F462" t="s">
        <v>242</v>
      </c>
      <c r="G462">
        <v>8</v>
      </c>
      <c r="I462" t="s">
        <v>1385</v>
      </c>
      <c r="J462" s="3">
        <v>62956</v>
      </c>
      <c r="M462" s="3" t="str">
        <f>IF(I462="Billy Wilder", "Must Watch", IF(I462="John Ford", "Watch", "Maybe"))</f>
        <v>Maybe</v>
      </c>
    </row>
    <row r="463" spans="1:13" x14ac:dyDescent="0.25">
      <c r="A463">
        <v>462</v>
      </c>
      <c r="B463" t="s">
        <v>1386</v>
      </c>
      <c r="C463">
        <v>-2019</v>
      </c>
      <c r="D463" t="s">
        <v>30</v>
      </c>
      <c r="E463" t="s">
        <v>108</v>
      </c>
      <c r="F463" t="s">
        <v>453</v>
      </c>
      <c r="G463">
        <v>7.9</v>
      </c>
      <c r="H463">
        <v>82</v>
      </c>
      <c r="I463" t="s">
        <v>1387</v>
      </c>
      <c r="J463" s="3">
        <v>596622</v>
      </c>
      <c r="K463" t="s">
        <v>1388</v>
      </c>
      <c r="M463" s="3" t="str">
        <f>IF(I463="Billy Wilder", "Must Watch", IF(I463="John Ford", "Watch", "Maybe"))</f>
        <v>Maybe</v>
      </c>
    </row>
    <row r="464" spans="1:13" x14ac:dyDescent="0.25">
      <c r="A464">
        <v>463</v>
      </c>
      <c r="B464" t="s">
        <v>1389</v>
      </c>
      <c r="C464">
        <v>-2018</v>
      </c>
      <c r="D464">
        <v>15</v>
      </c>
      <c r="E464" t="s">
        <v>148</v>
      </c>
      <c r="F464" t="s">
        <v>26</v>
      </c>
      <c r="G464">
        <v>7.9</v>
      </c>
      <c r="H464">
        <v>93</v>
      </c>
      <c r="I464" t="s">
        <v>1157</v>
      </c>
      <c r="J464" s="3">
        <v>74558</v>
      </c>
      <c r="K464" t="s">
        <v>1390</v>
      </c>
      <c r="M464" s="3" t="str">
        <f>IF(I464="Billy Wilder", "Must Watch", IF(I464="John Ford", "Watch", "Maybe"))</f>
        <v>Maybe</v>
      </c>
    </row>
    <row r="465" spans="1:13" x14ac:dyDescent="0.25">
      <c r="A465">
        <v>464</v>
      </c>
      <c r="B465" t="s">
        <v>1391</v>
      </c>
      <c r="C465">
        <v>-2019</v>
      </c>
      <c r="D465">
        <v>15</v>
      </c>
      <c r="E465" t="s">
        <v>139</v>
      </c>
      <c r="F465" t="s">
        <v>78</v>
      </c>
      <c r="G465">
        <v>7.9</v>
      </c>
      <c r="H465">
        <v>94</v>
      </c>
      <c r="I465" t="s">
        <v>1392</v>
      </c>
      <c r="J465" s="3">
        <v>297423</v>
      </c>
      <c r="K465" t="s">
        <v>1393</v>
      </c>
      <c r="M465" s="3" t="str">
        <f>IF(I465="Billy Wilder", "Must Watch", IF(I465="John Ford", "Watch", "Maybe"))</f>
        <v>Maybe</v>
      </c>
    </row>
    <row r="466" spans="1:13" x14ac:dyDescent="0.25">
      <c r="A466">
        <v>465</v>
      </c>
      <c r="B466" t="s">
        <v>1394</v>
      </c>
      <c r="C466">
        <v>-2019</v>
      </c>
      <c r="D466" t="s">
        <v>30</v>
      </c>
      <c r="E466" t="s">
        <v>59</v>
      </c>
      <c r="F466" t="s">
        <v>606</v>
      </c>
      <c r="G466">
        <v>7.9</v>
      </c>
      <c r="I466" t="s">
        <v>750</v>
      </c>
      <c r="J466" s="3">
        <v>30312</v>
      </c>
      <c r="K466" t="s">
        <v>1395</v>
      </c>
      <c r="M466" s="3" t="str">
        <f>IF(I466="Billy Wilder", "Must Watch", IF(I466="John Ford", "Watch", "Maybe"))</f>
        <v>Maybe</v>
      </c>
    </row>
    <row r="467" spans="1:13" x14ac:dyDescent="0.25">
      <c r="A467">
        <v>466</v>
      </c>
      <c r="B467" t="s">
        <v>1396</v>
      </c>
      <c r="C467">
        <v>-2018</v>
      </c>
      <c r="D467" t="s">
        <v>30</v>
      </c>
      <c r="E467" t="s">
        <v>561</v>
      </c>
      <c r="F467" t="s">
        <v>177</v>
      </c>
      <c r="G467">
        <v>7.9</v>
      </c>
      <c r="I467" t="s">
        <v>1397</v>
      </c>
      <c r="J467" s="3">
        <v>25640</v>
      </c>
      <c r="K467" t="s">
        <v>265</v>
      </c>
      <c r="M467" s="3" t="str">
        <f>IF(I467="Billy Wilder", "Must Watch", IF(I467="John Ford", "Watch", "Maybe"))</f>
        <v>Maybe</v>
      </c>
    </row>
    <row r="468" spans="1:13" x14ac:dyDescent="0.25">
      <c r="A468">
        <v>467</v>
      </c>
      <c r="B468" t="s">
        <v>1398</v>
      </c>
      <c r="C468">
        <v>-2019</v>
      </c>
      <c r="D468" t="s">
        <v>740</v>
      </c>
      <c r="E468" t="s">
        <v>325</v>
      </c>
      <c r="F468" t="s">
        <v>466</v>
      </c>
      <c r="G468">
        <v>7.9</v>
      </c>
      <c r="H468">
        <v>69</v>
      </c>
      <c r="I468" t="s">
        <v>1399</v>
      </c>
      <c r="J468" s="3">
        <v>47611</v>
      </c>
      <c r="M468" s="3" t="str">
        <f>IF(I468="Billy Wilder", "Must Watch", IF(I468="John Ford", "Watch", "Maybe"))</f>
        <v>Maybe</v>
      </c>
    </row>
    <row r="469" spans="1:13" x14ac:dyDescent="0.25">
      <c r="A469">
        <v>468</v>
      </c>
      <c r="B469" t="s">
        <v>1400</v>
      </c>
      <c r="C469">
        <v>-2016</v>
      </c>
      <c r="D469" t="s">
        <v>30</v>
      </c>
      <c r="E469" t="s">
        <v>108</v>
      </c>
      <c r="F469" t="s">
        <v>516</v>
      </c>
      <c r="G469">
        <v>7.9</v>
      </c>
      <c r="I469" t="s">
        <v>1401</v>
      </c>
      <c r="J469" s="3">
        <v>56643</v>
      </c>
      <c r="M469" s="3" t="str">
        <f>IF(I469="Billy Wilder", "Must Watch", IF(I469="John Ford", "Watch", "Maybe"))</f>
        <v>Maybe</v>
      </c>
    </row>
    <row r="470" spans="1:13" x14ac:dyDescent="0.25">
      <c r="A470">
        <v>469</v>
      </c>
      <c r="B470" t="s">
        <v>1402</v>
      </c>
      <c r="C470">
        <v>-2016</v>
      </c>
      <c r="D470" t="s">
        <v>74</v>
      </c>
      <c r="E470" t="s">
        <v>1403</v>
      </c>
      <c r="F470" t="s">
        <v>542</v>
      </c>
      <c r="G470">
        <v>7.9</v>
      </c>
      <c r="I470" t="s">
        <v>815</v>
      </c>
      <c r="J470" s="3">
        <v>54623</v>
      </c>
      <c r="K470" t="s">
        <v>1404</v>
      </c>
      <c r="M470" s="3" t="str">
        <f>IF(I470="Billy Wilder", "Must Watch", IF(I470="John Ford", "Watch", "Maybe"))</f>
        <v>Maybe</v>
      </c>
    </row>
    <row r="471" spans="1:13" x14ac:dyDescent="0.25">
      <c r="A471">
        <v>470</v>
      </c>
      <c r="B471" t="s">
        <v>1405</v>
      </c>
      <c r="C471" t="s">
        <v>546</v>
      </c>
      <c r="D471">
        <v>15</v>
      </c>
      <c r="E471" t="s">
        <v>1086</v>
      </c>
      <c r="F471" t="s">
        <v>1175</v>
      </c>
      <c r="G471">
        <v>7.9</v>
      </c>
      <c r="I471" t="s">
        <v>815</v>
      </c>
      <c r="J471" s="3">
        <v>57235</v>
      </c>
      <c r="M471" s="3" t="str">
        <f>IF(I471="Billy Wilder", "Must Watch", IF(I471="John Ford", "Watch", "Maybe"))</f>
        <v>Maybe</v>
      </c>
    </row>
    <row r="472" spans="1:13" x14ac:dyDescent="0.25">
      <c r="A472">
        <v>471</v>
      </c>
      <c r="B472" t="s">
        <v>1406</v>
      </c>
      <c r="C472">
        <v>-2016</v>
      </c>
      <c r="D472" t="s">
        <v>30</v>
      </c>
      <c r="E472" t="s">
        <v>171</v>
      </c>
      <c r="F472" t="s">
        <v>1066</v>
      </c>
      <c r="G472">
        <v>7.9</v>
      </c>
      <c r="H472">
        <v>79</v>
      </c>
      <c r="I472" t="s">
        <v>1407</v>
      </c>
      <c r="J472" s="3">
        <v>92723</v>
      </c>
      <c r="K472" t="s">
        <v>1408</v>
      </c>
      <c r="M472" s="3" t="str">
        <f>IF(I472="Billy Wilder", "Must Watch", IF(I472="John Ford", "Watch", "Maybe"))</f>
        <v>Maybe</v>
      </c>
    </row>
    <row r="473" spans="1:13" x14ac:dyDescent="0.25">
      <c r="A473">
        <v>472</v>
      </c>
      <c r="B473" t="s">
        <v>1409</v>
      </c>
      <c r="C473">
        <v>-2017</v>
      </c>
      <c r="D473" t="s">
        <v>30</v>
      </c>
      <c r="E473" t="s">
        <v>108</v>
      </c>
      <c r="F473" t="s">
        <v>371</v>
      </c>
      <c r="G473">
        <v>7.9</v>
      </c>
      <c r="H473">
        <v>74</v>
      </c>
      <c r="I473" t="s">
        <v>1410</v>
      </c>
      <c r="J473" s="3">
        <v>708240</v>
      </c>
      <c r="K473" t="s">
        <v>1411</v>
      </c>
      <c r="M473" s="3" t="str">
        <f>IF(I473="Billy Wilder", "Must Watch", IF(I473="John Ford", "Watch", "Maybe"))</f>
        <v>Maybe</v>
      </c>
    </row>
    <row r="474" spans="1:13" x14ac:dyDescent="0.25">
      <c r="A474">
        <v>473</v>
      </c>
      <c r="B474" t="s">
        <v>1412</v>
      </c>
      <c r="C474">
        <v>-2019</v>
      </c>
      <c r="D474" t="s">
        <v>30</v>
      </c>
      <c r="E474" t="s">
        <v>409</v>
      </c>
      <c r="F474" t="s">
        <v>366</v>
      </c>
      <c r="G474">
        <v>7.9</v>
      </c>
      <c r="H474">
        <v>58</v>
      </c>
      <c r="I474" t="s">
        <v>1410</v>
      </c>
      <c r="J474" s="3">
        <v>372528</v>
      </c>
      <c r="K474" t="s">
        <v>1221</v>
      </c>
      <c r="M474" s="3" t="str">
        <f>IF(I474="Billy Wilder", "Must Watch", IF(I474="John Ford", "Watch", "Maybe"))</f>
        <v>Maybe</v>
      </c>
    </row>
    <row r="475" spans="1:13" x14ac:dyDescent="0.25">
      <c r="A475">
        <v>474</v>
      </c>
      <c r="B475" t="s">
        <v>1413</v>
      </c>
      <c r="C475" t="s">
        <v>290</v>
      </c>
      <c r="D475" t="s">
        <v>74</v>
      </c>
      <c r="E475" t="s">
        <v>325</v>
      </c>
      <c r="F475" t="s">
        <v>399</v>
      </c>
      <c r="G475">
        <v>7.9</v>
      </c>
      <c r="H475">
        <v>66</v>
      </c>
      <c r="I475" t="s">
        <v>1109</v>
      </c>
      <c r="J475" s="3">
        <v>160874</v>
      </c>
      <c r="K475" t="s">
        <v>1414</v>
      </c>
      <c r="M475" s="3" t="str">
        <f>IF(I475="Billy Wilder", "Must Watch", IF(I475="John Ford", "Watch", "Maybe"))</f>
        <v>Maybe</v>
      </c>
    </row>
    <row r="476" spans="1:13" x14ac:dyDescent="0.25">
      <c r="A476">
        <v>475</v>
      </c>
      <c r="B476" t="s">
        <v>1415</v>
      </c>
      <c r="C476" t="s">
        <v>1416</v>
      </c>
      <c r="D476" t="s">
        <v>30</v>
      </c>
      <c r="E476" t="s">
        <v>131</v>
      </c>
      <c r="F476" t="s">
        <v>187</v>
      </c>
      <c r="G476">
        <v>7.9</v>
      </c>
      <c r="H476">
        <v>81</v>
      </c>
      <c r="I476" t="s">
        <v>390</v>
      </c>
      <c r="J476" s="3">
        <v>674241</v>
      </c>
      <c r="K476" t="s">
        <v>1417</v>
      </c>
      <c r="M476" s="3" t="str">
        <f>IF(I476="Billy Wilder", "Must Watch", IF(I476="John Ford", "Watch", "Maybe"))</f>
        <v>Maybe</v>
      </c>
    </row>
    <row r="477" spans="1:13" x14ac:dyDescent="0.25">
      <c r="A477">
        <v>476</v>
      </c>
      <c r="B477" t="s">
        <v>1418</v>
      </c>
      <c r="C477">
        <v>-2019</v>
      </c>
      <c r="D477" t="s">
        <v>30</v>
      </c>
      <c r="E477" t="s">
        <v>59</v>
      </c>
      <c r="F477" t="s">
        <v>921</v>
      </c>
      <c r="G477">
        <v>7.9</v>
      </c>
      <c r="H477">
        <v>65</v>
      </c>
      <c r="I477" t="s">
        <v>804</v>
      </c>
      <c r="J477" s="3">
        <v>38594</v>
      </c>
      <c r="K477" t="s">
        <v>1419</v>
      </c>
      <c r="M477" s="3" t="str">
        <f>IF(I477="Billy Wilder", "Must Watch", IF(I477="John Ford", "Watch", "Maybe"))</f>
        <v>Maybe</v>
      </c>
    </row>
    <row r="478" spans="1:13" x14ac:dyDescent="0.25">
      <c r="A478">
        <v>477</v>
      </c>
      <c r="B478" t="s">
        <v>1420</v>
      </c>
      <c r="C478">
        <v>-2013</v>
      </c>
      <c r="D478">
        <v>15</v>
      </c>
      <c r="E478" t="s">
        <v>50</v>
      </c>
      <c r="F478" t="s">
        <v>20</v>
      </c>
      <c r="G478">
        <v>7.9</v>
      </c>
      <c r="H478">
        <v>82</v>
      </c>
      <c r="I478" t="s">
        <v>1421</v>
      </c>
      <c r="J478" s="3">
        <v>87254</v>
      </c>
      <c r="K478" t="s">
        <v>1422</v>
      </c>
      <c r="M478" s="3" t="str">
        <f>IF(I478="Billy Wilder", "Must Watch", IF(I478="John Ford", "Watch", "Maybe"))</f>
        <v>Maybe</v>
      </c>
    </row>
    <row r="479" spans="1:13" x14ac:dyDescent="0.25">
      <c r="A479">
        <v>478</v>
      </c>
      <c r="B479" t="s">
        <v>1423</v>
      </c>
      <c r="C479">
        <v>-2014</v>
      </c>
      <c r="D479">
        <v>18</v>
      </c>
      <c r="E479" t="s">
        <v>193</v>
      </c>
      <c r="F479" t="s">
        <v>1175</v>
      </c>
      <c r="G479">
        <v>7.9</v>
      </c>
      <c r="H479">
        <v>71</v>
      </c>
      <c r="I479" t="s">
        <v>1424</v>
      </c>
      <c r="J479" s="3">
        <v>122228</v>
      </c>
      <c r="K479" t="s">
        <v>1425</v>
      </c>
      <c r="M479" s="3" t="str">
        <f>IF(I479="Billy Wilder", "Must Watch", IF(I479="John Ford", "Watch", "Maybe"))</f>
        <v>Maybe</v>
      </c>
    </row>
    <row r="480" spans="1:13" x14ac:dyDescent="0.25">
      <c r="A480">
        <v>479</v>
      </c>
      <c r="B480" t="s">
        <v>1426</v>
      </c>
      <c r="C480">
        <v>-2013</v>
      </c>
      <c r="D480">
        <v>15</v>
      </c>
      <c r="E480" t="s">
        <v>241</v>
      </c>
      <c r="F480" t="s">
        <v>78</v>
      </c>
      <c r="G480">
        <v>7.9</v>
      </c>
      <c r="H480">
        <v>94</v>
      </c>
      <c r="I480" t="s">
        <v>852</v>
      </c>
      <c r="J480" s="3">
        <v>155238</v>
      </c>
      <c r="K480" t="s">
        <v>1427</v>
      </c>
      <c r="M480" s="3" t="str">
        <f>IF(I480="Billy Wilder", "Must Watch", IF(I480="John Ford", "Watch", "Maybe"))</f>
        <v>Maybe</v>
      </c>
    </row>
    <row r="481" spans="1:13" x14ac:dyDescent="0.25">
      <c r="A481">
        <v>480</v>
      </c>
      <c r="B481" t="s">
        <v>1428</v>
      </c>
      <c r="C481">
        <v>-2014</v>
      </c>
      <c r="D481" t="s">
        <v>30</v>
      </c>
      <c r="E481" t="s">
        <v>166</v>
      </c>
      <c r="F481" t="s">
        <v>64</v>
      </c>
      <c r="G481">
        <v>7.9</v>
      </c>
      <c r="H481">
        <v>75</v>
      </c>
      <c r="I481" t="s">
        <v>206</v>
      </c>
      <c r="J481" s="3">
        <v>701665</v>
      </c>
      <c r="K481" t="s">
        <v>1429</v>
      </c>
      <c r="M481" s="3" t="str">
        <f>IF(I481="Billy Wilder", "Must Watch", IF(I481="John Ford", "Watch", "Maybe"))</f>
        <v>Maybe</v>
      </c>
    </row>
    <row r="482" spans="1:13" x14ac:dyDescent="0.25">
      <c r="A482">
        <v>481</v>
      </c>
      <c r="B482" t="s">
        <v>1430</v>
      </c>
      <c r="C482">
        <v>-2022</v>
      </c>
      <c r="D482">
        <v>15</v>
      </c>
      <c r="E482" t="s">
        <v>1431</v>
      </c>
      <c r="F482" t="s">
        <v>32</v>
      </c>
      <c r="G482">
        <v>7.9</v>
      </c>
      <c r="H482">
        <v>72</v>
      </c>
      <c r="I482" t="s">
        <v>1432</v>
      </c>
      <c r="J482" s="3">
        <v>525671</v>
      </c>
      <c r="M482" s="3" t="str">
        <f>IF(I482="Billy Wilder", "Must Watch", IF(I482="John Ford", "Watch", "Maybe"))</f>
        <v>Maybe</v>
      </c>
    </row>
    <row r="483" spans="1:13" x14ac:dyDescent="0.25">
      <c r="A483">
        <v>482</v>
      </c>
      <c r="B483" t="s">
        <v>1433</v>
      </c>
      <c r="C483">
        <v>-2018</v>
      </c>
      <c r="D483" t="s">
        <v>30</v>
      </c>
      <c r="E483" t="s">
        <v>331</v>
      </c>
      <c r="F483" t="s">
        <v>194</v>
      </c>
      <c r="G483">
        <v>7.9</v>
      </c>
      <c r="H483">
        <v>49</v>
      </c>
      <c r="I483" t="s">
        <v>206</v>
      </c>
      <c r="J483" s="3">
        <v>521708</v>
      </c>
      <c r="K483" t="s">
        <v>1434</v>
      </c>
      <c r="M483" s="3" t="str">
        <f>IF(I483="Billy Wilder", "Must Watch", IF(I483="John Ford", "Watch", "Maybe"))</f>
        <v>Maybe</v>
      </c>
    </row>
    <row r="484" spans="1:13" x14ac:dyDescent="0.25">
      <c r="A484">
        <v>483</v>
      </c>
      <c r="B484" t="s">
        <v>1435</v>
      </c>
      <c r="C484">
        <v>-2014</v>
      </c>
      <c r="D484" t="s">
        <v>30</v>
      </c>
      <c r="E484" t="s">
        <v>50</v>
      </c>
      <c r="F484" t="s">
        <v>78</v>
      </c>
      <c r="G484">
        <v>7.9</v>
      </c>
      <c r="H484">
        <v>71</v>
      </c>
      <c r="I484" t="s">
        <v>1436</v>
      </c>
      <c r="J484" s="3">
        <v>25277</v>
      </c>
      <c r="K484" t="s">
        <v>693</v>
      </c>
      <c r="M484" s="3" t="str">
        <f>IF(I484="Billy Wilder", "Must Watch", IF(I484="John Ford", "Watch", "Maybe"))</f>
        <v>Maybe</v>
      </c>
    </row>
    <row r="485" spans="1:13" x14ac:dyDescent="0.25">
      <c r="A485">
        <v>484</v>
      </c>
      <c r="B485" t="s">
        <v>1437</v>
      </c>
      <c r="C485" t="s">
        <v>1438</v>
      </c>
      <c r="D485" t="s">
        <v>74</v>
      </c>
      <c r="E485" t="s">
        <v>613</v>
      </c>
      <c r="F485" t="s">
        <v>132</v>
      </c>
      <c r="G485">
        <v>7.9</v>
      </c>
      <c r="H485">
        <v>89</v>
      </c>
      <c r="I485" t="s">
        <v>1439</v>
      </c>
      <c r="J485" s="3">
        <v>240245</v>
      </c>
      <c r="K485" t="s">
        <v>1440</v>
      </c>
      <c r="M485" s="3" t="str">
        <f>IF(I485="Billy Wilder", "Must Watch", IF(I485="John Ford", "Watch", "Maybe"))</f>
        <v>Maybe</v>
      </c>
    </row>
    <row r="486" spans="1:13" x14ac:dyDescent="0.25">
      <c r="A486">
        <v>485</v>
      </c>
      <c r="B486" t="s">
        <v>1441</v>
      </c>
      <c r="C486">
        <v>-2014</v>
      </c>
      <c r="D486" t="s">
        <v>30</v>
      </c>
      <c r="E486" t="s">
        <v>325</v>
      </c>
      <c r="F486" t="s">
        <v>64</v>
      </c>
      <c r="G486">
        <v>7.9</v>
      </c>
      <c r="H486">
        <v>71</v>
      </c>
      <c r="I486" t="s">
        <v>1442</v>
      </c>
      <c r="J486" s="3">
        <v>661279</v>
      </c>
      <c r="K486" t="s">
        <v>1443</v>
      </c>
      <c r="M486" s="3" t="str">
        <f>IF(I486="Billy Wilder", "Must Watch", IF(I486="John Ford", "Watch", "Maybe"))</f>
        <v>Maybe</v>
      </c>
    </row>
    <row r="487" spans="1:13" x14ac:dyDescent="0.25">
      <c r="A487">
        <v>486</v>
      </c>
      <c r="B487" t="s">
        <v>1444</v>
      </c>
      <c r="C487">
        <v>-2012</v>
      </c>
      <c r="D487" t="s">
        <v>30</v>
      </c>
      <c r="E487" t="s">
        <v>136</v>
      </c>
      <c r="F487" t="s">
        <v>20</v>
      </c>
      <c r="G487">
        <v>7.9</v>
      </c>
      <c r="H487">
        <v>94</v>
      </c>
      <c r="I487" t="s">
        <v>1445</v>
      </c>
      <c r="J487" s="3">
        <v>99672</v>
      </c>
      <c r="K487" t="s">
        <v>1087</v>
      </c>
      <c r="M487" s="3" t="str">
        <f>IF(I487="Billy Wilder", "Must Watch", IF(I487="John Ford", "Watch", "Maybe"))</f>
        <v>Maybe</v>
      </c>
    </row>
    <row r="488" spans="1:13" x14ac:dyDescent="0.25">
      <c r="A488">
        <v>487</v>
      </c>
      <c r="B488" t="s">
        <v>1446</v>
      </c>
      <c r="C488">
        <v>-2009</v>
      </c>
      <c r="D488" t="s">
        <v>30</v>
      </c>
      <c r="E488" t="s">
        <v>202</v>
      </c>
      <c r="F488" t="s">
        <v>389</v>
      </c>
      <c r="G488">
        <v>7.9</v>
      </c>
      <c r="H488">
        <v>87</v>
      </c>
      <c r="I488" t="s">
        <v>385</v>
      </c>
      <c r="J488" s="3">
        <v>53112</v>
      </c>
      <c r="K488" t="s">
        <v>1447</v>
      </c>
      <c r="M488" s="3" t="str">
        <f>IF(I488="Billy Wilder", "Must Watch", IF(I488="John Ford", "Watch", "Maybe"))</f>
        <v>Maybe</v>
      </c>
    </row>
    <row r="489" spans="1:13" x14ac:dyDescent="0.25">
      <c r="A489">
        <v>488</v>
      </c>
      <c r="B489" t="s">
        <v>1448</v>
      </c>
      <c r="C489">
        <v>-2009</v>
      </c>
      <c r="D489">
        <v>15</v>
      </c>
      <c r="E489" t="s">
        <v>1072</v>
      </c>
      <c r="F489" t="s">
        <v>132</v>
      </c>
      <c r="G489">
        <v>7.9</v>
      </c>
      <c r="I489" t="s">
        <v>551</v>
      </c>
      <c r="J489" s="3">
        <v>30537</v>
      </c>
      <c r="K489" t="s">
        <v>684</v>
      </c>
      <c r="M489" s="3" t="str">
        <f>IF(I489="Billy Wilder", "Must Watch", IF(I489="John Ford", "Watch", "Maybe"))</f>
        <v>Maybe</v>
      </c>
    </row>
    <row r="490" spans="1:13" x14ac:dyDescent="0.25">
      <c r="A490">
        <v>489</v>
      </c>
      <c r="B490" t="s">
        <v>1449</v>
      </c>
      <c r="C490">
        <v>-2010</v>
      </c>
      <c r="D490" t="s">
        <v>30</v>
      </c>
      <c r="E490" t="s">
        <v>237</v>
      </c>
      <c r="F490" t="s">
        <v>78</v>
      </c>
      <c r="G490">
        <v>7.9</v>
      </c>
      <c r="H490">
        <v>50</v>
      </c>
      <c r="I490" t="s">
        <v>1450</v>
      </c>
      <c r="J490" s="3">
        <v>105796</v>
      </c>
      <c r="K490" t="s">
        <v>1451</v>
      </c>
      <c r="M490" s="3" t="str">
        <f>IF(I490="Billy Wilder", "Must Watch", IF(I490="John Ford", "Watch", "Maybe"))</f>
        <v>Maybe</v>
      </c>
    </row>
    <row r="491" spans="1:13" x14ac:dyDescent="0.25">
      <c r="A491">
        <v>490</v>
      </c>
      <c r="B491" t="s">
        <v>1452</v>
      </c>
      <c r="C491">
        <v>-2009</v>
      </c>
      <c r="D491">
        <v>15</v>
      </c>
      <c r="E491" t="s">
        <v>477</v>
      </c>
      <c r="F491" t="s">
        <v>676</v>
      </c>
      <c r="G491">
        <v>7.9</v>
      </c>
      <c r="I491" t="s">
        <v>1453</v>
      </c>
      <c r="J491" s="3">
        <v>33604</v>
      </c>
      <c r="M491" s="3" t="str">
        <f>IF(I491="Billy Wilder", "Must Watch", IF(I491="John Ford", "Watch", "Maybe"))</f>
        <v>Maybe</v>
      </c>
    </row>
    <row r="492" spans="1:13" x14ac:dyDescent="0.25">
      <c r="A492">
        <v>491</v>
      </c>
      <c r="B492" t="s">
        <v>1454</v>
      </c>
      <c r="C492">
        <v>-2008</v>
      </c>
      <c r="D492">
        <v>15</v>
      </c>
      <c r="E492" t="s">
        <v>655</v>
      </c>
      <c r="F492" t="s">
        <v>520</v>
      </c>
      <c r="G492">
        <v>7.9</v>
      </c>
      <c r="H492">
        <v>82</v>
      </c>
      <c r="I492" t="s">
        <v>1455</v>
      </c>
      <c r="J492" s="3">
        <v>215256</v>
      </c>
      <c r="K492" t="s">
        <v>1456</v>
      </c>
      <c r="M492" s="3" t="str">
        <f>IF(I492="Billy Wilder", "Must Watch", IF(I492="John Ford", "Watch", "Maybe"))</f>
        <v>Maybe</v>
      </c>
    </row>
    <row r="493" spans="1:13" x14ac:dyDescent="0.25">
      <c r="A493">
        <v>492</v>
      </c>
      <c r="B493" t="s">
        <v>1457</v>
      </c>
      <c r="C493">
        <v>-2009</v>
      </c>
      <c r="D493">
        <v>15</v>
      </c>
      <c r="E493" t="s">
        <v>176</v>
      </c>
      <c r="F493" t="s">
        <v>1458</v>
      </c>
      <c r="G493">
        <v>7.9</v>
      </c>
      <c r="H493">
        <v>81</v>
      </c>
      <c r="I493" t="s">
        <v>1459</v>
      </c>
      <c r="J493" s="3">
        <v>673187</v>
      </c>
      <c r="K493" t="s">
        <v>1460</v>
      </c>
      <c r="M493" s="3" t="str">
        <f>IF(I493="Billy Wilder", "Must Watch", IF(I493="John Ford", "Watch", "Maybe"))</f>
        <v>Maybe</v>
      </c>
    </row>
    <row r="494" spans="1:13" x14ac:dyDescent="0.25">
      <c r="A494">
        <v>493</v>
      </c>
      <c r="B494" t="s">
        <v>1461</v>
      </c>
      <c r="C494">
        <v>-2008</v>
      </c>
      <c r="D494">
        <v>15</v>
      </c>
      <c r="E494" t="s">
        <v>241</v>
      </c>
      <c r="F494" t="s">
        <v>842</v>
      </c>
      <c r="G494">
        <v>7.9</v>
      </c>
      <c r="H494">
        <v>80</v>
      </c>
      <c r="I494" t="s">
        <v>423</v>
      </c>
      <c r="J494" s="3">
        <v>303298</v>
      </c>
      <c r="K494" t="s">
        <v>1462</v>
      </c>
      <c r="M494" s="3" t="str">
        <f>IF(I494="Billy Wilder", "Must Watch", IF(I494="John Ford", "Watch", "Maybe"))</f>
        <v>Maybe</v>
      </c>
    </row>
    <row r="495" spans="1:13" x14ac:dyDescent="0.25">
      <c r="A495">
        <v>494</v>
      </c>
      <c r="B495" t="s">
        <v>1463</v>
      </c>
      <c r="C495">
        <v>-2007</v>
      </c>
      <c r="D495" t="s">
        <v>74</v>
      </c>
      <c r="E495" t="s">
        <v>515</v>
      </c>
      <c r="F495" t="s">
        <v>132</v>
      </c>
      <c r="G495">
        <v>7.9</v>
      </c>
      <c r="I495" t="s">
        <v>1464</v>
      </c>
      <c r="J495" s="3">
        <v>52405</v>
      </c>
      <c r="K495" t="s">
        <v>1465</v>
      </c>
      <c r="M495" s="3" t="str">
        <f>IF(I495="Billy Wilder", "Must Watch", IF(I495="John Ford", "Watch", "Maybe"))</f>
        <v>Maybe</v>
      </c>
    </row>
    <row r="496" spans="1:13" x14ac:dyDescent="0.25">
      <c r="A496">
        <v>495</v>
      </c>
      <c r="B496" t="s">
        <v>1466</v>
      </c>
      <c r="C496" t="s">
        <v>1075</v>
      </c>
      <c r="D496">
        <v>15</v>
      </c>
      <c r="E496" t="s">
        <v>237</v>
      </c>
      <c r="F496" t="s">
        <v>20</v>
      </c>
      <c r="G496">
        <v>7.9</v>
      </c>
      <c r="H496">
        <v>100</v>
      </c>
      <c r="I496" t="s">
        <v>852</v>
      </c>
      <c r="J496" s="3">
        <v>351729</v>
      </c>
      <c r="K496" t="s">
        <v>1467</v>
      </c>
      <c r="M496" s="3" t="str">
        <f>IF(I496="Billy Wilder", "Must Watch", IF(I496="John Ford", "Watch", "Maybe"))</f>
        <v>Maybe</v>
      </c>
    </row>
    <row r="497" spans="1:13" x14ac:dyDescent="0.25">
      <c r="A497">
        <v>496</v>
      </c>
      <c r="B497" t="s">
        <v>1468</v>
      </c>
      <c r="C497">
        <v>-2021</v>
      </c>
      <c r="D497">
        <v>15</v>
      </c>
      <c r="E497" t="s">
        <v>477</v>
      </c>
      <c r="F497" t="s">
        <v>132</v>
      </c>
      <c r="G497">
        <v>7.9</v>
      </c>
      <c r="H497">
        <v>90</v>
      </c>
      <c r="I497" t="s">
        <v>1469</v>
      </c>
      <c r="J497" s="3">
        <v>48974</v>
      </c>
      <c r="M497" s="3" t="str">
        <f>IF(I497="Billy Wilder", "Must Watch", IF(I497="John Ford", "Watch", "Maybe"))</f>
        <v>Maybe</v>
      </c>
    </row>
    <row r="498" spans="1:13" x14ac:dyDescent="0.25">
      <c r="A498">
        <v>497</v>
      </c>
      <c r="B498" t="s">
        <v>1470</v>
      </c>
      <c r="C498">
        <v>-2007</v>
      </c>
      <c r="D498">
        <v>15</v>
      </c>
      <c r="E498" t="s">
        <v>325</v>
      </c>
      <c r="F498" t="s">
        <v>20</v>
      </c>
      <c r="G498">
        <v>7.9</v>
      </c>
      <c r="H498">
        <v>97</v>
      </c>
      <c r="I498" t="s">
        <v>1471</v>
      </c>
      <c r="J498" s="3">
        <v>59980</v>
      </c>
      <c r="K498" t="s">
        <v>1472</v>
      </c>
      <c r="M498" s="3" t="str">
        <f>IF(I498="Billy Wilder", "Must Watch", IF(I498="John Ford", "Watch", "Maybe"))</f>
        <v>Maybe</v>
      </c>
    </row>
    <row r="499" spans="1:13" x14ac:dyDescent="0.25">
      <c r="A499">
        <v>498</v>
      </c>
      <c r="B499" t="s">
        <v>1473</v>
      </c>
      <c r="C499">
        <v>-2009</v>
      </c>
      <c r="D499" t="s">
        <v>30</v>
      </c>
      <c r="E499" t="s">
        <v>136</v>
      </c>
      <c r="F499" t="s">
        <v>64</v>
      </c>
      <c r="G499">
        <v>7.9</v>
      </c>
      <c r="H499">
        <v>82</v>
      </c>
      <c r="I499" t="s">
        <v>1474</v>
      </c>
      <c r="J499" s="3">
        <v>599520</v>
      </c>
      <c r="K499" t="s">
        <v>1475</v>
      </c>
      <c r="M499" s="3" t="str">
        <f>IF(I499="Billy Wilder", "Must Watch", IF(I499="John Ford", "Watch", "Maybe"))</f>
        <v>Maybe</v>
      </c>
    </row>
    <row r="500" spans="1:13" x14ac:dyDescent="0.25">
      <c r="A500">
        <v>499</v>
      </c>
      <c r="B500" t="s">
        <v>1476</v>
      </c>
      <c r="C500">
        <v>-2013</v>
      </c>
      <c r="D500">
        <v>15</v>
      </c>
      <c r="E500" t="s">
        <v>232</v>
      </c>
      <c r="F500" t="s">
        <v>606</v>
      </c>
      <c r="G500">
        <v>7.9</v>
      </c>
      <c r="H500">
        <v>79</v>
      </c>
      <c r="I500" t="s">
        <v>1477</v>
      </c>
      <c r="J500" s="3">
        <v>480285</v>
      </c>
      <c r="K500" t="s">
        <v>1478</v>
      </c>
      <c r="M500" s="3" t="str">
        <f>IF(I500="Billy Wilder", "Must Watch", IF(I500="John Ford", "Watch", "Maybe"))</f>
        <v>Maybe</v>
      </c>
    </row>
    <row r="501" spans="1:13" x14ac:dyDescent="0.25">
      <c r="A501">
        <v>500</v>
      </c>
      <c r="B501" t="s">
        <v>1479</v>
      </c>
      <c r="C501">
        <v>-2008</v>
      </c>
      <c r="D501">
        <v>18</v>
      </c>
      <c r="E501" t="s">
        <v>493</v>
      </c>
      <c r="F501" t="s">
        <v>453</v>
      </c>
      <c r="G501">
        <v>7.9</v>
      </c>
      <c r="H501">
        <v>67</v>
      </c>
      <c r="I501" t="s">
        <v>732</v>
      </c>
      <c r="J501" s="3">
        <v>416514</v>
      </c>
      <c r="K501" t="s">
        <v>1480</v>
      </c>
      <c r="M501" s="3" t="str">
        <f>IF(I501="Billy Wilder", "Must Watch", IF(I501="John Ford", "Watch", "Maybe"))</f>
        <v>Maybe</v>
      </c>
    </row>
    <row r="502" spans="1:13" x14ac:dyDescent="0.25">
      <c r="A502">
        <v>501</v>
      </c>
      <c r="B502" t="s">
        <v>1481</v>
      </c>
      <c r="C502">
        <v>-2007</v>
      </c>
      <c r="D502" t="s">
        <v>74</v>
      </c>
      <c r="E502" t="s">
        <v>254</v>
      </c>
      <c r="F502" t="s">
        <v>1482</v>
      </c>
      <c r="G502">
        <v>7.9</v>
      </c>
      <c r="I502" t="s">
        <v>1483</v>
      </c>
      <c r="J502" s="3">
        <v>185755</v>
      </c>
      <c r="M502" s="3" t="str">
        <f>IF(I502="Billy Wilder", "Must Watch", IF(I502="John Ford", "Watch", "Maybe"))</f>
        <v>Maybe</v>
      </c>
    </row>
    <row r="503" spans="1:13" x14ac:dyDescent="0.25">
      <c r="A503">
        <v>502</v>
      </c>
      <c r="B503" t="s">
        <v>1484</v>
      </c>
      <c r="C503">
        <v>-2006</v>
      </c>
      <c r="D503">
        <v>15</v>
      </c>
      <c r="E503" t="s">
        <v>163</v>
      </c>
      <c r="F503" t="s">
        <v>37</v>
      </c>
      <c r="G503">
        <v>7.9</v>
      </c>
      <c r="H503">
        <v>89</v>
      </c>
      <c r="I503" t="s">
        <v>635</v>
      </c>
      <c r="J503" s="3">
        <v>161879</v>
      </c>
      <c r="K503" t="s">
        <v>1485</v>
      </c>
      <c r="M503" s="3" t="str">
        <f>IF(I503="Billy Wilder", "Must Watch", IF(I503="John Ford", "Watch", "Maybe"))</f>
        <v>Maybe</v>
      </c>
    </row>
    <row r="504" spans="1:13" x14ac:dyDescent="0.25">
      <c r="A504">
        <v>503</v>
      </c>
      <c r="B504" t="s">
        <v>1486</v>
      </c>
      <c r="C504">
        <v>-2012</v>
      </c>
      <c r="D504" t="s">
        <v>74</v>
      </c>
      <c r="E504" t="s">
        <v>136</v>
      </c>
      <c r="F504" t="s">
        <v>1189</v>
      </c>
      <c r="G504">
        <v>7.9</v>
      </c>
      <c r="H504">
        <v>79</v>
      </c>
      <c r="I504" t="s">
        <v>1487</v>
      </c>
      <c r="J504" s="3">
        <v>619821</v>
      </c>
      <c r="K504" t="s">
        <v>1488</v>
      </c>
      <c r="M504" s="3" t="str">
        <f>IF(I504="Billy Wilder", "Must Watch", IF(I504="John Ford", "Watch", "Maybe"))</f>
        <v>Maybe</v>
      </c>
    </row>
    <row r="505" spans="1:13" x14ac:dyDescent="0.25">
      <c r="A505">
        <v>504</v>
      </c>
      <c r="B505" t="s">
        <v>1489</v>
      </c>
      <c r="C505">
        <v>-2009</v>
      </c>
      <c r="D505" t="s">
        <v>74</v>
      </c>
      <c r="E505" t="s">
        <v>254</v>
      </c>
      <c r="F505" t="s">
        <v>292</v>
      </c>
      <c r="G505">
        <v>7.9</v>
      </c>
      <c r="H505">
        <v>83</v>
      </c>
      <c r="I505" t="s">
        <v>774</v>
      </c>
      <c r="J505" s="3">
        <v>226539</v>
      </c>
      <c r="K505" t="s">
        <v>1490</v>
      </c>
      <c r="M505" s="3" t="str">
        <f>IF(I505="Billy Wilder", "Must Watch", IF(I505="John Ford", "Watch", "Maybe"))</f>
        <v>Maybe</v>
      </c>
    </row>
    <row r="506" spans="1:13" x14ac:dyDescent="0.25">
      <c r="A506">
        <v>505</v>
      </c>
      <c r="B506" t="s">
        <v>1491</v>
      </c>
      <c r="C506">
        <v>-2004</v>
      </c>
      <c r="D506">
        <v>15</v>
      </c>
      <c r="E506" t="s">
        <v>213</v>
      </c>
      <c r="F506" t="s">
        <v>1132</v>
      </c>
      <c r="G506">
        <v>7.9</v>
      </c>
      <c r="H506">
        <v>72</v>
      </c>
      <c r="I506" t="s">
        <v>1178</v>
      </c>
      <c r="J506" s="3">
        <v>54823</v>
      </c>
      <c r="K506" t="s">
        <v>1492</v>
      </c>
      <c r="M506" s="3" t="str">
        <f>IF(I506="Billy Wilder", "Must Watch", IF(I506="John Ford", "Watch", "Maybe"))</f>
        <v>Maybe</v>
      </c>
    </row>
    <row r="507" spans="1:13" x14ac:dyDescent="0.25">
      <c r="A507">
        <v>506</v>
      </c>
      <c r="B507" t="s">
        <v>1493</v>
      </c>
      <c r="C507">
        <v>-2005</v>
      </c>
      <c r="D507">
        <v>15</v>
      </c>
      <c r="E507" t="s">
        <v>452</v>
      </c>
      <c r="F507" t="s">
        <v>304</v>
      </c>
      <c r="G507">
        <v>7.9</v>
      </c>
      <c r="H507">
        <v>81</v>
      </c>
      <c r="I507" t="s">
        <v>1477</v>
      </c>
      <c r="J507" s="3">
        <v>32808</v>
      </c>
      <c r="M507" s="3" t="str">
        <f>IF(I507="Billy Wilder", "Must Watch", IF(I507="John Ford", "Watch", "Maybe"))</f>
        <v>Maybe</v>
      </c>
    </row>
    <row r="508" spans="1:13" x14ac:dyDescent="0.25">
      <c r="A508">
        <v>507</v>
      </c>
      <c r="B508" t="s">
        <v>1494</v>
      </c>
      <c r="C508">
        <v>-2003</v>
      </c>
      <c r="D508">
        <v>12</v>
      </c>
      <c r="E508" t="s">
        <v>209</v>
      </c>
      <c r="F508" t="s">
        <v>20</v>
      </c>
      <c r="G508">
        <v>7.9</v>
      </c>
      <c r="H508">
        <v>82</v>
      </c>
      <c r="I508" t="s">
        <v>1495</v>
      </c>
      <c r="J508" s="3">
        <v>45343</v>
      </c>
      <c r="K508" t="s">
        <v>1278</v>
      </c>
      <c r="M508" s="3" t="str">
        <f>IF(I508="Billy Wilder", "Must Watch", IF(I508="John Ford", "Watch", "Maybe"))</f>
        <v>Maybe</v>
      </c>
    </row>
    <row r="509" spans="1:13" x14ac:dyDescent="0.25">
      <c r="A509">
        <v>508</v>
      </c>
      <c r="B509" t="s">
        <v>1496</v>
      </c>
      <c r="C509">
        <v>-2008</v>
      </c>
      <c r="D509" t="s">
        <v>30</v>
      </c>
      <c r="E509" t="s">
        <v>263</v>
      </c>
      <c r="F509" t="s">
        <v>64</v>
      </c>
      <c r="G509">
        <v>7.9</v>
      </c>
      <c r="H509">
        <v>79</v>
      </c>
      <c r="I509" t="s">
        <v>1497</v>
      </c>
      <c r="J509" s="3">
        <v>1033503</v>
      </c>
      <c r="K509" t="s">
        <v>1498</v>
      </c>
      <c r="M509" s="3" t="str">
        <f>IF(I509="Billy Wilder", "Must Watch", IF(I509="John Ford", "Watch", "Maybe"))</f>
        <v>Maybe</v>
      </c>
    </row>
    <row r="510" spans="1:13" x14ac:dyDescent="0.25">
      <c r="A510">
        <v>509</v>
      </c>
      <c r="B510" t="s">
        <v>1499</v>
      </c>
      <c r="C510">
        <v>-2004</v>
      </c>
      <c r="D510">
        <v>15</v>
      </c>
      <c r="E510" t="s">
        <v>436</v>
      </c>
      <c r="F510" t="s">
        <v>1500</v>
      </c>
      <c r="G510">
        <v>7.9</v>
      </c>
      <c r="H510">
        <v>76</v>
      </c>
      <c r="I510" t="s">
        <v>1501</v>
      </c>
      <c r="J510" s="3">
        <v>548991</v>
      </c>
      <c r="K510" t="s">
        <v>1502</v>
      </c>
      <c r="M510" s="3" t="str">
        <f>IF(I510="Billy Wilder", "Must Watch", IF(I510="John Ford", "Watch", "Maybe"))</f>
        <v>Maybe</v>
      </c>
    </row>
    <row r="511" spans="1:13" x14ac:dyDescent="0.25">
      <c r="A511">
        <v>510</v>
      </c>
      <c r="B511" t="s">
        <v>1503</v>
      </c>
      <c r="C511">
        <v>-2003</v>
      </c>
      <c r="D511" t="s">
        <v>30</v>
      </c>
      <c r="E511" t="s">
        <v>541</v>
      </c>
      <c r="F511" t="s">
        <v>803</v>
      </c>
      <c r="G511">
        <v>7.9</v>
      </c>
      <c r="H511">
        <v>54</v>
      </c>
      <c r="I511" t="s">
        <v>1504</v>
      </c>
      <c r="J511" s="3">
        <v>68442</v>
      </c>
      <c r="K511" t="s">
        <v>1505</v>
      </c>
      <c r="M511" s="3" t="str">
        <f>IF(I511="Billy Wilder", "Must Watch", IF(I511="John Ford", "Watch", "Maybe"))</f>
        <v>Maybe</v>
      </c>
    </row>
    <row r="512" spans="1:13" x14ac:dyDescent="0.25">
      <c r="A512">
        <v>511</v>
      </c>
      <c r="B512" t="s">
        <v>1506</v>
      </c>
      <c r="C512">
        <v>-2004</v>
      </c>
      <c r="D512">
        <v>18</v>
      </c>
      <c r="E512" t="s">
        <v>148</v>
      </c>
      <c r="F512" t="s">
        <v>78</v>
      </c>
      <c r="G512">
        <v>7.9</v>
      </c>
      <c r="H512">
        <v>78</v>
      </c>
      <c r="I512" t="s">
        <v>1507</v>
      </c>
      <c r="J512" s="3">
        <v>54075</v>
      </c>
      <c r="M512" s="3" t="str">
        <f>IF(I512="Billy Wilder", "Must Watch", IF(I512="John Ford", "Watch", "Maybe"))</f>
        <v>Maybe</v>
      </c>
    </row>
    <row r="513" spans="1:13" x14ac:dyDescent="0.25">
      <c r="A513">
        <v>512</v>
      </c>
      <c r="B513" t="s">
        <v>1508</v>
      </c>
      <c r="C513">
        <v>-2003</v>
      </c>
      <c r="D513">
        <v>15</v>
      </c>
      <c r="E513" t="s">
        <v>515</v>
      </c>
      <c r="F513" t="s">
        <v>56</v>
      </c>
      <c r="G513">
        <v>7.9</v>
      </c>
      <c r="H513">
        <v>84</v>
      </c>
      <c r="I513" t="s">
        <v>635</v>
      </c>
      <c r="J513" s="3">
        <v>450809</v>
      </c>
      <c r="K513" t="s">
        <v>1509</v>
      </c>
      <c r="M513" s="3" t="str">
        <f>IF(I513="Billy Wilder", "Must Watch", IF(I513="John Ford", "Watch", "Maybe"))</f>
        <v>Maybe</v>
      </c>
    </row>
    <row r="514" spans="1:13" x14ac:dyDescent="0.25">
      <c r="A514">
        <v>513</v>
      </c>
      <c r="B514" t="s">
        <v>1510</v>
      </c>
      <c r="C514">
        <v>-2004</v>
      </c>
      <c r="D514" t="s">
        <v>74</v>
      </c>
      <c r="E514" t="s">
        <v>19</v>
      </c>
      <c r="F514" t="s">
        <v>1044</v>
      </c>
      <c r="G514">
        <v>7.9</v>
      </c>
      <c r="H514">
        <v>82</v>
      </c>
      <c r="I514" t="s">
        <v>1511</v>
      </c>
      <c r="J514" s="3">
        <v>618358</v>
      </c>
      <c r="K514" t="s">
        <v>1512</v>
      </c>
      <c r="M514" s="3" t="str">
        <f>IF(I514="Billy Wilder", "Must Watch", IF(I514="John Ford", "Watch", "Maybe"))</f>
        <v>Maybe</v>
      </c>
    </row>
    <row r="515" spans="1:13" x14ac:dyDescent="0.25">
      <c r="A515">
        <v>514</v>
      </c>
      <c r="B515" t="s">
        <v>1513</v>
      </c>
      <c r="C515">
        <v>-2002</v>
      </c>
      <c r="D515" t="s">
        <v>30</v>
      </c>
      <c r="E515" t="s">
        <v>811</v>
      </c>
      <c r="F515" t="s">
        <v>37</v>
      </c>
      <c r="G515">
        <v>7.9</v>
      </c>
      <c r="H515">
        <v>85</v>
      </c>
      <c r="I515" t="s">
        <v>926</v>
      </c>
      <c r="J515" s="3">
        <v>180528</v>
      </c>
      <c r="K515" t="s">
        <v>1514</v>
      </c>
      <c r="M515" s="3" t="str">
        <f>IF(I515="Billy Wilder", "Must Watch", IF(I515="John Ford", "Watch", "Maybe"))</f>
        <v>Maybe</v>
      </c>
    </row>
    <row r="516" spans="1:13" x14ac:dyDescent="0.25">
      <c r="A516">
        <v>515</v>
      </c>
      <c r="B516" t="s">
        <v>1515</v>
      </c>
      <c r="C516">
        <v>-2002</v>
      </c>
      <c r="D516">
        <v>15</v>
      </c>
      <c r="E516" t="s">
        <v>176</v>
      </c>
      <c r="F516" t="s">
        <v>557</v>
      </c>
      <c r="G516">
        <v>7.9</v>
      </c>
      <c r="H516">
        <v>86</v>
      </c>
      <c r="I516" t="s">
        <v>1516</v>
      </c>
      <c r="J516" s="3">
        <v>111779</v>
      </c>
      <c r="K516" t="s">
        <v>1517</v>
      </c>
      <c r="M516" s="3" t="str">
        <f>IF(I516="Billy Wilder", "Must Watch", IF(I516="John Ford", "Watch", "Maybe"))</f>
        <v>Maybe</v>
      </c>
    </row>
    <row r="517" spans="1:13" x14ac:dyDescent="0.25">
      <c r="A517">
        <v>516</v>
      </c>
      <c r="B517" t="s">
        <v>1518</v>
      </c>
      <c r="C517" t="s">
        <v>1519</v>
      </c>
      <c r="D517">
        <v>15</v>
      </c>
      <c r="E517" t="s">
        <v>313</v>
      </c>
      <c r="F517" t="s">
        <v>366</v>
      </c>
      <c r="G517">
        <v>7.9</v>
      </c>
      <c r="H517">
        <v>84</v>
      </c>
      <c r="I517" t="s">
        <v>1520</v>
      </c>
      <c r="J517" s="3">
        <v>47007</v>
      </c>
      <c r="K517" t="s">
        <v>1521</v>
      </c>
      <c r="M517" s="3" t="str">
        <f>IF(I517="Billy Wilder", "Must Watch", IF(I517="John Ford", "Watch", "Maybe"))</f>
        <v>Maybe</v>
      </c>
    </row>
    <row r="518" spans="1:13" x14ac:dyDescent="0.25">
      <c r="A518">
        <v>517</v>
      </c>
      <c r="B518" t="s">
        <v>1522</v>
      </c>
      <c r="C518">
        <v>-2002</v>
      </c>
      <c r="D518" t="s">
        <v>30</v>
      </c>
      <c r="E518" t="s">
        <v>202</v>
      </c>
      <c r="F518" t="s">
        <v>1153</v>
      </c>
      <c r="G518">
        <v>7.9</v>
      </c>
      <c r="H518">
        <v>68</v>
      </c>
      <c r="I518" t="s">
        <v>1442</v>
      </c>
      <c r="J518" s="3">
        <v>540414</v>
      </c>
      <c r="K518" t="s">
        <v>1523</v>
      </c>
      <c r="M518" s="3" t="str">
        <f>IF(I518="Billy Wilder", "Must Watch", IF(I518="John Ford", "Watch", "Maybe"))</f>
        <v>Maybe</v>
      </c>
    </row>
    <row r="519" spans="1:13" x14ac:dyDescent="0.25">
      <c r="A519">
        <v>518</v>
      </c>
      <c r="B519" t="s">
        <v>1524</v>
      </c>
      <c r="C519">
        <v>-2000</v>
      </c>
      <c r="D519">
        <v>15</v>
      </c>
      <c r="E519" t="s">
        <v>655</v>
      </c>
      <c r="F519" t="s">
        <v>144</v>
      </c>
      <c r="G519">
        <v>7.9</v>
      </c>
      <c r="H519">
        <v>80</v>
      </c>
      <c r="I519" t="s">
        <v>1525</v>
      </c>
      <c r="J519" s="3">
        <v>52656</v>
      </c>
      <c r="K519" t="s">
        <v>401</v>
      </c>
      <c r="M519" s="3" t="str">
        <f>IF(I519="Billy Wilder", "Must Watch", IF(I519="John Ford", "Watch", "Maybe"))</f>
        <v>Maybe</v>
      </c>
    </row>
    <row r="520" spans="1:13" x14ac:dyDescent="0.25">
      <c r="A520">
        <v>519</v>
      </c>
      <c r="B520" t="s">
        <v>1526</v>
      </c>
      <c r="C520">
        <v>-2006</v>
      </c>
      <c r="D520">
        <v>15</v>
      </c>
      <c r="E520" t="s">
        <v>241</v>
      </c>
      <c r="F520" t="s">
        <v>595</v>
      </c>
      <c r="G520">
        <v>7.9</v>
      </c>
      <c r="H520">
        <v>84</v>
      </c>
      <c r="I520" t="s">
        <v>1511</v>
      </c>
      <c r="J520" s="3">
        <v>494064</v>
      </c>
      <c r="K520" t="s">
        <v>1527</v>
      </c>
      <c r="M520" s="3" t="str">
        <f>IF(I520="Billy Wilder", "Must Watch", IF(I520="John Ford", "Watch", "Maybe"))</f>
        <v>Maybe</v>
      </c>
    </row>
    <row r="521" spans="1:13" x14ac:dyDescent="0.25">
      <c r="A521">
        <v>520</v>
      </c>
      <c r="B521" t="s">
        <v>1528</v>
      </c>
      <c r="C521">
        <v>-2000</v>
      </c>
      <c r="D521">
        <v>12</v>
      </c>
      <c r="E521" t="s">
        <v>811</v>
      </c>
      <c r="F521" t="s">
        <v>37</v>
      </c>
      <c r="G521">
        <v>7.9</v>
      </c>
      <c r="H521">
        <v>94</v>
      </c>
      <c r="I521" t="s">
        <v>1487</v>
      </c>
      <c r="J521" s="3">
        <v>266856</v>
      </c>
      <c r="K521" t="s">
        <v>1529</v>
      </c>
      <c r="M521" s="3" t="str">
        <f>IF(I521="Billy Wilder", "Must Watch", IF(I521="John Ford", "Watch", "Maybe"))</f>
        <v>Maybe</v>
      </c>
    </row>
    <row r="522" spans="1:13" x14ac:dyDescent="0.25">
      <c r="A522">
        <v>521</v>
      </c>
      <c r="B522" t="s">
        <v>1530</v>
      </c>
      <c r="C522">
        <v>-2000</v>
      </c>
      <c r="D522">
        <v>15</v>
      </c>
      <c r="E522" t="s">
        <v>268</v>
      </c>
      <c r="F522" t="s">
        <v>714</v>
      </c>
      <c r="G522">
        <v>7.9</v>
      </c>
      <c r="H522">
        <v>90</v>
      </c>
      <c r="I522" t="s">
        <v>1531</v>
      </c>
      <c r="J522" s="3">
        <v>273240</v>
      </c>
      <c r="K522" t="s">
        <v>1532</v>
      </c>
      <c r="M522" s="3" t="str">
        <f>IF(I522="Billy Wilder", "Must Watch", IF(I522="John Ford", "Watch", "Maybe"))</f>
        <v>Maybe</v>
      </c>
    </row>
    <row r="523" spans="1:13" x14ac:dyDescent="0.25">
      <c r="A523">
        <v>522</v>
      </c>
      <c r="B523" t="s">
        <v>1533</v>
      </c>
      <c r="C523">
        <v>-2000</v>
      </c>
      <c r="D523">
        <v>15</v>
      </c>
      <c r="E523" t="s">
        <v>561</v>
      </c>
      <c r="F523" t="s">
        <v>1534</v>
      </c>
      <c r="G523">
        <v>7.9</v>
      </c>
      <c r="H523">
        <v>61</v>
      </c>
      <c r="I523" t="s">
        <v>1197</v>
      </c>
      <c r="J523" s="3">
        <v>109101</v>
      </c>
      <c r="K523" t="s">
        <v>1535</v>
      </c>
      <c r="M523" s="3" t="str">
        <f>IF(I523="Billy Wilder", "Must Watch", IF(I523="John Ford", "Watch", "Maybe"))</f>
        <v>Maybe</v>
      </c>
    </row>
    <row r="524" spans="1:13" x14ac:dyDescent="0.25">
      <c r="A524">
        <v>523</v>
      </c>
      <c r="B524" t="s">
        <v>1536</v>
      </c>
      <c r="C524">
        <v>-2001</v>
      </c>
      <c r="D524">
        <v>15</v>
      </c>
      <c r="E524" t="s">
        <v>228</v>
      </c>
      <c r="F524" t="s">
        <v>317</v>
      </c>
      <c r="G524">
        <v>7.9</v>
      </c>
      <c r="H524">
        <v>85</v>
      </c>
      <c r="I524" t="s">
        <v>653</v>
      </c>
      <c r="J524" s="3">
        <v>349617</v>
      </c>
      <c r="K524" t="s">
        <v>1537</v>
      </c>
      <c r="M524" s="3" t="str">
        <f>IF(I524="Billy Wilder", "Must Watch", IF(I524="John Ford", "Watch", "Maybe"))</f>
        <v>Maybe</v>
      </c>
    </row>
    <row r="525" spans="1:13" x14ac:dyDescent="0.25">
      <c r="A525">
        <v>524</v>
      </c>
      <c r="B525" t="s">
        <v>1538</v>
      </c>
      <c r="C525">
        <v>-2001</v>
      </c>
      <c r="D525" t="s">
        <v>49</v>
      </c>
      <c r="E525" t="s">
        <v>1244</v>
      </c>
      <c r="F525" t="s">
        <v>292</v>
      </c>
      <c r="G525">
        <v>7.9</v>
      </c>
      <c r="H525">
        <v>84</v>
      </c>
      <c r="I525" t="s">
        <v>1539</v>
      </c>
      <c r="J525" s="3">
        <v>663224</v>
      </c>
      <c r="K525" t="s">
        <v>1540</v>
      </c>
      <c r="M525" s="3" t="str">
        <f>IF(I525="Billy Wilder", "Must Watch", IF(I525="John Ford", "Watch", "Maybe"))</f>
        <v>Maybe</v>
      </c>
    </row>
    <row r="526" spans="1:13" x14ac:dyDescent="0.25">
      <c r="A526">
        <v>525</v>
      </c>
      <c r="B526" t="s">
        <v>1541</v>
      </c>
      <c r="C526">
        <v>-1999</v>
      </c>
      <c r="D526" t="s">
        <v>49</v>
      </c>
      <c r="E526" t="s">
        <v>827</v>
      </c>
      <c r="F526" t="s">
        <v>292</v>
      </c>
      <c r="G526">
        <v>7.9</v>
      </c>
      <c r="H526">
        <v>88</v>
      </c>
      <c r="I526" t="s">
        <v>430</v>
      </c>
      <c r="J526" s="3">
        <v>569869</v>
      </c>
      <c r="K526" t="s">
        <v>1542</v>
      </c>
      <c r="M526" s="3" t="str">
        <f>IF(I526="Billy Wilder", "Must Watch", IF(I526="John Ford", "Watch", "Maybe"))</f>
        <v>Maybe</v>
      </c>
    </row>
    <row r="527" spans="1:13" x14ac:dyDescent="0.25">
      <c r="A527">
        <v>526</v>
      </c>
      <c r="B527" t="s">
        <v>1543</v>
      </c>
      <c r="C527">
        <v>-1997</v>
      </c>
      <c r="D527">
        <v>12</v>
      </c>
      <c r="E527" t="s">
        <v>1544</v>
      </c>
      <c r="F527" t="s">
        <v>78</v>
      </c>
      <c r="G527">
        <v>7.9</v>
      </c>
      <c r="H527">
        <v>75</v>
      </c>
      <c r="I527" t="s">
        <v>140</v>
      </c>
      <c r="J527" s="3">
        <v>1141533</v>
      </c>
      <c r="K527" t="s">
        <v>1545</v>
      </c>
      <c r="M527" s="3" t="str">
        <f>IF(I527="Billy Wilder", "Must Watch", IF(I527="John Ford", "Watch", "Maybe"))</f>
        <v>Maybe</v>
      </c>
    </row>
    <row r="528" spans="1:13" x14ac:dyDescent="0.25">
      <c r="A528">
        <v>527</v>
      </c>
      <c r="B528" t="s">
        <v>1546</v>
      </c>
      <c r="C528">
        <v>-1997</v>
      </c>
      <c r="E528" t="s">
        <v>254</v>
      </c>
      <c r="F528" t="s">
        <v>1547</v>
      </c>
      <c r="G528">
        <v>7.9</v>
      </c>
      <c r="I528" t="s">
        <v>1548</v>
      </c>
      <c r="J528" s="3">
        <v>30288</v>
      </c>
      <c r="K528" t="s">
        <v>1549</v>
      </c>
      <c r="M528" s="3" t="str">
        <f>IF(I528="Billy Wilder", "Must Watch", IF(I528="John Ford", "Watch", "Maybe"))</f>
        <v>Maybe</v>
      </c>
    </row>
    <row r="529" spans="1:13" x14ac:dyDescent="0.25">
      <c r="A529">
        <v>528</v>
      </c>
      <c r="B529" t="s">
        <v>1550</v>
      </c>
      <c r="C529">
        <v>-1997</v>
      </c>
      <c r="D529">
        <v>18</v>
      </c>
      <c r="E529" t="s">
        <v>198</v>
      </c>
      <c r="F529" t="s">
        <v>20</v>
      </c>
      <c r="G529">
        <v>7.9</v>
      </c>
      <c r="H529">
        <v>85</v>
      </c>
      <c r="I529" t="s">
        <v>588</v>
      </c>
      <c r="J529" s="3">
        <v>261028</v>
      </c>
      <c r="K529" t="s">
        <v>1551</v>
      </c>
      <c r="M529" s="3" t="str">
        <f>IF(I529="Billy Wilder", "Must Watch", IF(I529="John Ford", "Watch", "Maybe"))</f>
        <v>Maybe</v>
      </c>
    </row>
    <row r="530" spans="1:13" x14ac:dyDescent="0.25">
      <c r="A530">
        <v>529</v>
      </c>
      <c r="B530" t="s">
        <v>1552</v>
      </c>
      <c r="C530">
        <v>-1995</v>
      </c>
      <c r="D530" t="s">
        <v>49</v>
      </c>
      <c r="E530" t="s">
        <v>610</v>
      </c>
      <c r="F530" t="s">
        <v>779</v>
      </c>
      <c r="G530">
        <v>7.9</v>
      </c>
      <c r="H530">
        <v>75</v>
      </c>
      <c r="I530" t="s">
        <v>1553</v>
      </c>
      <c r="J530" s="3">
        <v>61260</v>
      </c>
      <c r="M530" s="3" t="str">
        <f>IF(I530="Billy Wilder", "Must Watch", IF(I530="John Ford", "Watch", "Maybe"))</f>
        <v>Maybe</v>
      </c>
    </row>
    <row r="531" spans="1:13" x14ac:dyDescent="0.25">
      <c r="A531">
        <v>530</v>
      </c>
      <c r="B531" t="s">
        <v>1554</v>
      </c>
      <c r="C531">
        <v>-1995</v>
      </c>
      <c r="D531">
        <v>15</v>
      </c>
      <c r="E531" t="s">
        <v>1555</v>
      </c>
      <c r="F531" t="s">
        <v>1556</v>
      </c>
      <c r="G531">
        <v>7.9</v>
      </c>
      <c r="H531">
        <v>76</v>
      </c>
      <c r="I531" t="s">
        <v>1557</v>
      </c>
      <c r="J531" s="3">
        <v>141005</v>
      </c>
      <c r="K531" t="s">
        <v>1558</v>
      </c>
      <c r="M531" s="3" t="str">
        <f>IF(I531="Billy Wilder", "Must Watch", IF(I531="John Ford", "Watch", "Maybe"))</f>
        <v>Maybe</v>
      </c>
    </row>
    <row r="532" spans="1:13" x14ac:dyDescent="0.25">
      <c r="A532">
        <v>531</v>
      </c>
      <c r="B532" t="s">
        <v>1559</v>
      </c>
      <c r="C532">
        <v>-1994</v>
      </c>
      <c r="D532">
        <v>18</v>
      </c>
      <c r="E532" t="s">
        <v>249</v>
      </c>
      <c r="F532" t="s">
        <v>26</v>
      </c>
      <c r="G532">
        <v>7.9</v>
      </c>
      <c r="H532">
        <v>77</v>
      </c>
      <c r="I532" t="s">
        <v>1560</v>
      </c>
      <c r="J532" s="3">
        <v>34110</v>
      </c>
      <c r="K532" t="s">
        <v>840</v>
      </c>
      <c r="M532" s="3" t="str">
        <f>IF(I532="Billy Wilder", "Must Watch", IF(I532="John Ford", "Watch", "Maybe"))</f>
        <v>Maybe</v>
      </c>
    </row>
    <row r="533" spans="1:13" x14ac:dyDescent="0.25">
      <c r="A533">
        <v>532</v>
      </c>
      <c r="B533" t="s">
        <v>1561</v>
      </c>
      <c r="C533">
        <v>-1993</v>
      </c>
      <c r="D533">
        <v>18</v>
      </c>
      <c r="E533" t="s">
        <v>202</v>
      </c>
      <c r="F533" t="s">
        <v>1132</v>
      </c>
      <c r="G533">
        <v>7.9</v>
      </c>
      <c r="H533">
        <v>59</v>
      </c>
      <c r="I533" t="s">
        <v>1562</v>
      </c>
      <c r="J533" s="3">
        <v>224178</v>
      </c>
      <c r="K533" t="s">
        <v>1563</v>
      </c>
      <c r="M533" s="3" t="str">
        <f>IF(I533="Billy Wilder", "Must Watch", IF(I533="John Ford", "Watch", "Maybe"))</f>
        <v>Maybe</v>
      </c>
    </row>
    <row r="534" spans="1:13" x14ac:dyDescent="0.25">
      <c r="A534">
        <v>533</v>
      </c>
      <c r="B534" t="s">
        <v>1564</v>
      </c>
      <c r="C534">
        <v>-1993</v>
      </c>
      <c r="D534">
        <v>15</v>
      </c>
      <c r="E534" t="s">
        <v>1057</v>
      </c>
      <c r="F534" t="s">
        <v>1565</v>
      </c>
      <c r="G534">
        <v>7.9</v>
      </c>
      <c r="H534">
        <v>85</v>
      </c>
      <c r="I534" t="s">
        <v>911</v>
      </c>
      <c r="J534" s="3">
        <v>100619</v>
      </c>
      <c r="K534" t="s">
        <v>1566</v>
      </c>
      <c r="M534" s="3" t="str">
        <f>IF(I534="Billy Wilder", "Must Watch", IF(I534="John Ford", "Watch", "Maybe"))</f>
        <v>Maybe</v>
      </c>
    </row>
    <row r="535" spans="1:13" x14ac:dyDescent="0.25">
      <c r="A535">
        <v>534</v>
      </c>
      <c r="B535" t="s">
        <v>1567</v>
      </c>
      <c r="C535">
        <v>-1993</v>
      </c>
      <c r="D535" t="s">
        <v>74</v>
      </c>
      <c r="E535" t="s">
        <v>1568</v>
      </c>
      <c r="F535" t="s">
        <v>1252</v>
      </c>
      <c r="G535">
        <v>7.9</v>
      </c>
      <c r="H535">
        <v>82</v>
      </c>
      <c r="I535" t="s">
        <v>1569</v>
      </c>
      <c r="J535" s="3">
        <v>328243</v>
      </c>
      <c r="K535" t="s">
        <v>1570</v>
      </c>
      <c r="M535" s="3" t="str">
        <f>IF(I535="Billy Wilder", "Must Watch", IF(I535="John Ford", "Watch", "Maybe"))</f>
        <v>Maybe</v>
      </c>
    </row>
    <row r="536" spans="1:13" x14ac:dyDescent="0.25">
      <c r="A536">
        <v>535</v>
      </c>
      <c r="B536" t="s">
        <v>1571</v>
      </c>
      <c r="C536">
        <v>-1993</v>
      </c>
      <c r="D536">
        <v>18</v>
      </c>
      <c r="E536" t="s">
        <v>1072</v>
      </c>
      <c r="F536" t="s">
        <v>144</v>
      </c>
      <c r="G536">
        <v>7.9</v>
      </c>
      <c r="H536">
        <v>65</v>
      </c>
      <c r="I536" t="s">
        <v>446</v>
      </c>
      <c r="J536" s="3">
        <v>215345</v>
      </c>
      <c r="K536" t="s">
        <v>1572</v>
      </c>
      <c r="M536" s="3" t="str">
        <f>IF(I536="Billy Wilder", "Must Watch", IF(I536="John Ford", "Watch", "Maybe"))</f>
        <v>Maybe</v>
      </c>
    </row>
    <row r="537" spans="1:13" x14ac:dyDescent="0.25">
      <c r="A537">
        <v>536</v>
      </c>
      <c r="B537" t="s">
        <v>1573</v>
      </c>
      <c r="C537">
        <v>-1993</v>
      </c>
      <c r="D537">
        <v>18</v>
      </c>
      <c r="E537" t="s">
        <v>579</v>
      </c>
      <c r="F537" t="s">
        <v>26</v>
      </c>
      <c r="G537">
        <v>7.9</v>
      </c>
      <c r="H537">
        <v>47</v>
      </c>
      <c r="I537" t="s">
        <v>1574</v>
      </c>
      <c r="J537" s="3">
        <v>31180</v>
      </c>
      <c r="K537" t="s">
        <v>1575</v>
      </c>
      <c r="M537" s="3" t="str">
        <f>IF(I537="Billy Wilder", "Must Watch", IF(I537="John Ford", "Watch", "Maybe"))</f>
        <v>Maybe</v>
      </c>
    </row>
    <row r="538" spans="1:13" x14ac:dyDescent="0.25">
      <c r="A538">
        <v>537</v>
      </c>
      <c r="B538" t="s">
        <v>1576</v>
      </c>
      <c r="C538">
        <v>-1990</v>
      </c>
      <c r="D538" t="s">
        <v>49</v>
      </c>
      <c r="E538" t="s">
        <v>291</v>
      </c>
      <c r="F538" t="s">
        <v>1267</v>
      </c>
      <c r="G538">
        <v>7.9</v>
      </c>
      <c r="H538">
        <v>74</v>
      </c>
      <c r="I538" t="s">
        <v>1190</v>
      </c>
      <c r="J538" s="3">
        <v>481156</v>
      </c>
      <c r="K538" t="s">
        <v>1577</v>
      </c>
      <c r="M538" s="3" t="str">
        <f>IF(I538="Billy Wilder", "Must Watch", IF(I538="John Ford", "Watch", "Maybe"))</f>
        <v>Maybe</v>
      </c>
    </row>
    <row r="539" spans="1:13" x14ac:dyDescent="0.25">
      <c r="A539">
        <v>538</v>
      </c>
      <c r="B539" t="s">
        <v>1578</v>
      </c>
      <c r="C539">
        <v>-1989</v>
      </c>
      <c r="D539">
        <v>15</v>
      </c>
      <c r="E539" t="s">
        <v>403</v>
      </c>
      <c r="F539" t="s">
        <v>606</v>
      </c>
      <c r="G539">
        <v>7.9</v>
      </c>
      <c r="H539">
        <v>97</v>
      </c>
      <c r="I539" t="s">
        <v>914</v>
      </c>
      <c r="J539" s="3">
        <v>73775</v>
      </c>
      <c r="K539" t="s">
        <v>1579</v>
      </c>
      <c r="M539" s="3" t="str">
        <f>IF(I539="Billy Wilder", "Must Watch", IF(I539="John Ford", "Watch", "Maybe"))</f>
        <v>Maybe</v>
      </c>
    </row>
    <row r="540" spans="1:13" x14ac:dyDescent="0.25">
      <c r="A540">
        <v>539</v>
      </c>
      <c r="B540" t="s">
        <v>1580</v>
      </c>
      <c r="C540">
        <v>-1989</v>
      </c>
      <c r="D540">
        <v>18</v>
      </c>
      <c r="E540" t="s">
        <v>811</v>
      </c>
      <c r="F540" t="s">
        <v>304</v>
      </c>
      <c r="G540">
        <v>7.9</v>
      </c>
      <c r="H540">
        <v>93</v>
      </c>
      <c r="I540" t="s">
        <v>1581</v>
      </c>
      <c r="J540" s="3">
        <v>100836</v>
      </c>
      <c r="K540" t="s">
        <v>1582</v>
      </c>
      <c r="M540" s="3" t="str">
        <f>IF(I540="Billy Wilder", "Must Watch", IF(I540="John Ford", "Watch", "Maybe"))</f>
        <v>Maybe</v>
      </c>
    </row>
    <row r="541" spans="1:13" x14ac:dyDescent="0.25">
      <c r="A541">
        <v>540</v>
      </c>
      <c r="B541" t="s">
        <v>1583</v>
      </c>
      <c r="C541">
        <v>-1987</v>
      </c>
      <c r="D541">
        <v>15</v>
      </c>
      <c r="E541" t="s">
        <v>202</v>
      </c>
      <c r="F541" t="s">
        <v>144</v>
      </c>
      <c r="G541">
        <v>7.9</v>
      </c>
      <c r="H541">
        <v>79</v>
      </c>
      <c r="I541" t="s">
        <v>446</v>
      </c>
      <c r="J541" s="3">
        <v>305096</v>
      </c>
      <c r="K541" t="s">
        <v>1584</v>
      </c>
      <c r="M541" s="3" t="str">
        <f>IF(I541="Billy Wilder", "Must Watch", IF(I541="John Ford", "Watch", "Maybe"))</f>
        <v>Maybe</v>
      </c>
    </row>
    <row r="542" spans="1:13" x14ac:dyDescent="0.25">
      <c r="A542">
        <v>541</v>
      </c>
      <c r="B542" t="s">
        <v>1585</v>
      </c>
      <c r="C542">
        <v>-1986</v>
      </c>
      <c r="D542" t="s">
        <v>30</v>
      </c>
      <c r="E542" t="s">
        <v>287</v>
      </c>
      <c r="F542" t="s">
        <v>20</v>
      </c>
      <c r="G542">
        <v>7.9</v>
      </c>
      <c r="I542" t="s">
        <v>957</v>
      </c>
      <c r="J542" s="3">
        <v>27990</v>
      </c>
      <c r="K542" t="s">
        <v>869</v>
      </c>
      <c r="M542" s="3" t="str">
        <f>IF(I542="Billy Wilder", "Must Watch", IF(I542="John Ford", "Watch", "Maybe"))</f>
        <v>Maybe</v>
      </c>
    </row>
    <row r="543" spans="1:13" x14ac:dyDescent="0.25">
      <c r="A543">
        <v>542</v>
      </c>
      <c r="B543" t="s">
        <v>1586</v>
      </c>
      <c r="C543">
        <v>-1986</v>
      </c>
      <c r="D543">
        <v>15</v>
      </c>
      <c r="E543" t="s">
        <v>493</v>
      </c>
      <c r="F543" t="s">
        <v>304</v>
      </c>
      <c r="G543">
        <v>7.9</v>
      </c>
      <c r="H543">
        <v>90</v>
      </c>
      <c r="I543" t="s">
        <v>1294</v>
      </c>
      <c r="J543" s="3">
        <v>71178</v>
      </c>
      <c r="K543" t="s">
        <v>1587</v>
      </c>
      <c r="M543" s="3" t="str">
        <f>IF(I543="Billy Wilder", "Must Watch", IF(I543="John Ford", "Watch", "Maybe"))</f>
        <v>Maybe</v>
      </c>
    </row>
    <row r="544" spans="1:13" x14ac:dyDescent="0.25">
      <c r="A544">
        <v>543</v>
      </c>
      <c r="B544" t="s">
        <v>1588</v>
      </c>
      <c r="C544">
        <v>-1985</v>
      </c>
      <c r="D544">
        <v>15</v>
      </c>
      <c r="E544" t="s">
        <v>166</v>
      </c>
      <c r="F544" t="s">
        <v>504</v>
      </c>
      <c r="G544">
        <v>7.9</v>
      </c>
      <c r="H544">
        <v>84</v>
      </c>
      <c r="I544" t="s">
        <v>660</v>
      </c>
      <c r="J544" s="3">
        <v>199250</v>
      </c>
      <c r="K544" t="s">
        <v>1589</v>
      </c>
      <c r="M544" s="3" t="str">
        <f>IF(I544="Billy Wilder", "Must Watch", IF(I544="John Ford", "Watch", "Maybe"))</f>
        <v>Maybe</v>
      </c>
    </row>
    <row r="545" spans="1:13" x14ac:dyDescent="0.25">
      <c r="A545">
        <v>544</v>
      </c>
      <c r="B545" t="s">
        <v>1590</v>
      </c>
      <c r="C545">
        <v>-1984</v>
      </c>
      <c r="D545">
        <v>15</v>
      </c>
      <c r="E545" t="s">
        <v>1591</v>
      </c>
      <c r="F545" t="s">
        <v>1592</v>
      </c>
      <c r="G545">
        <v>7.9</v>
      </c>
      <c r="H545">
        <v>92</v>
      </c>
      <c r="I545" t="s">
        <v>935</v>
      </c>
      <c r="J545" s="3">
        <v>138745</v>
      </c>
      <c r="K545" t="s">
        <v>1593</v>
      </c>
      <c r="M545" s="3" t="str">
        <f>IF(I545="Billy Wilder", "Must Watch", IF(I545="John Ford", "Watch", "Maybe"))</f>
        <v>Maybe</v>
      </c>
    </row>
    <row r="546" spans="1:13" x14ac:dyDescent="0.25">
      <c r="A546">
        <v>545</v>
      </c>
      <c r="B546" t="s">
        <v>1594</v>
      </c>
      <c r="C546">
        <v>-1983</v>
      </c>
      <c r="D546" t="s">
        <v>74</v>
      </c>
      <c r="E546" t="s">
        <v>823</v>
      </c>
      <c r="F546" t="s">
        <v>1595</v>
      </c>
      <c r="G546">
        <v>7.9</v>
      </c>
      <c r="H546">
        <v>77</v>
      </c>
      <c r="I546" t="s">
        <v>1596</v>
      </c>
      <c r="J546" s="3">
        <v>146596</v>
      </c>
      <c r="K546" t="s">
        <v>1597</v>
      </c>
      <c r="M546" s="3" t="str">
        <f>IF(I546="Billy Wilder", "Must Watch", IF(I546="John Ford", "Watch", "Maybe"))</f>
        <v>Maybe</v>
      </c>
    </row>
    <row r="547" spans="1:13" x14ac:dyDescent="0.25">
      <c r="A547">
        <v>546</v>
      </c>
      <c r="B547" t="s">
        <v>1598</v>
      </c>
      <c r="C547">
        <v>-1982</v>
      </c>
      <c r="D547" t="s">
        <v>49</v>
      </c>
      <c r="E547" t="s">
        <v>342</v>
      </c>
      <c r="F547" t="s">
        <v>1599</v>
      </c>
      <c r="G547">
        <v>7.9</v>
      </c>
      <c r="H547">
        <v>91</v>
      </c>
      <c r="I547" t="s">
        <v>43</v>
      </c>
      <c r="J547" s="3">
        <v>401149</v>
      </c>
      <c r="K547" t="s">
        <v>1600</v>
      </c>
      <c r="M547" s="3" t="str">
        <f>IF(I547="Billy Wilder", "Must Watch", IF(I547="John Ford", "Watch", "Maybe"))</f>
        <v>Maybe</v>
      </c>
    </row>
    <row r="548" spans="1:13" x14ac:dyDescent="0.25">
      <c r="A548">
        <v>547</v>
      </c>
      <c r="B548" t="s">
        <v>1601</v>
      </c>
      <c r="C548">
        <v>-1980</v>
      </c>
      <c r="D548" t="s">
        <v>155</v>
      </c>
      <c r="E548" t="s">
        <v>579</v>
      </c>
      <c r="F548" t="s">
        <v>1602</v>
      </c>
      <c r="G548">
        <v>7.9</v>
      </c>
      <c r="H548">
        <v>84</v>
      </c>
      <c r="I548" t="s">
        <v>157</v>
      </c>
      <c r="J548" s="3">
        <v>35441</v>
      </c>
      <c r="M548" s="3" t="str">
        <f>IF(I548="Billy Wilder", "Must Watch", IF(I548="John Ford", "Watch", "Maybe"))</f>
        <v>Maybe</v>
      </c>
    </row>
    <row r="549" spans="1:13" x14ac:dyDescent="0.25">
      <c r="A549">
        <v>548</v>
      </c>
      <c r="B549" t="s">
        <v>1603</v>
      </c>
      <c r="C549">
        <v>-1980</v>
      </c>
      <c r="D549" t="s">
        <v>236</v>
      </c>
      <c r="E549" t="s">
        <v>104</v>
      </c>
      <c r="F549" t="s">
        <v>371</v>
      </c>
      <c r="G549">
        <v>7.9</v>
      </c>
      <c r="H549">
        <v>60</v>
      </c>
      <c r="I549" t="s">
        <v>1604</v>
      </c>
      <c r="J549" s="3">
        <v>196859</v>
      </c>
      <c r="K549" t="s">
        <v>1605</v>
      </c>
      <c r="M549" s="3" t="str">
        <f>IF(I549="Billy Wilder", "Must Watch", IF(I549="John Ford", "Watch", "Maybe"))</f>
        <v>Maybe</v>
      </c>
    </row>
    <row r="550" spans="1:13" x14ac:dyDescent="0.25">
      <c r="A550">
        <v>549</v>
      </c>
      <c r="B550" t="s">
        <v>1606</v>
      </c>
      <c r="C550">
        <v>-1979</v>
      </c>
      <c r="D550" t="s">
        <v>236</v>
      </c>
      <c r="E550" t="s">
        <v>50</v>
      </c>
      <c r="F550" t="s">
        <v>132</v>
      </c>
      <c r="G550">
        <v>7.9</v>
      </c>
      <c r="H550">
        <v>83</v>
      </c>
      <c r="I550" t="s">
        <v>1294</v>
      </c>
      <c r="J550" s="3">
        <v>139317</v>
      </c>
      <c r="K550" t="s">
        <v>1607</v>
      </c>
      <c r="M550" s="3" t="str">
        <f>IF(I550="Billy Wilder", "Must Watch", IF(I550="John Ford", "Watch", "Maybe"))</f>
        <v>Maybe</v>
      </c>
    </row>
    <row r="551" spans="1:13" x14ac:dyDescent="0.25">
      <c r="A551">
        <v>550</v>
      </c>
      <c r="B551" t="s">
        <v>1608</v>
      </c>
      <c r="C551">
        <v>-1976</v>
      </c>
      <c r="D551" t="s">
        <v>236</v>
      </c>
      <c r="E551" t="s">
        <v>515</v>
      </c>
      <c r="F551" t="s">
        <v>1248</v>
      </c>
      <c r="G551">
        <v>7.9</v>
      </c>
      <c r="H551">
        <v>84</v>
      </c>
      <c r="I551" t="s">
        <v>1609</v>
      </c>
      <c r="J551" s="3">
        <v>114078</v>
      </c>
      <c r="K551" t="s">
        <v>1610</v>
      </c>
      <c r="M551" s="3" t="str">
        <f>IF(I551="Billy Wilder", "Must Watch", IF(I551="John Ford", "Watch", "Maybe"))</f>
        <v>Maybe</v>
      </c>
    </row>
    <row r="552" spans="1:13" x14ac:dyDescent="0.25">
      <c r="A552">
        <v>551</v>
      </c>
      <c r="B552" t="s">
        <v>1611</v>
      </c>
      <c r="C552">
        <v>-1973</v>
      </c>
      <c r="D552" t="s">
        <v>24</v>
      </c>
      <c r="E552" t="s">
        <v>384</v>
      </c>
      <c r="F552" t="s">
        <v>304</v>
      </c>
      <c r="G552">
        <v>7.9</v>
      </c>
      <c r="I552" t="s">
        <v>1013</v>
      </c>
      <c r="J552" s="3">
        <v>43347</v>
      </c>
      <c r="K552" t="s">
        <v>1612</v>
      </c>
      <c r="M552" s="3" t="str">
        <f>IF(I552="Billy Wilder", "Must Watch", IF(I552="John Ford", "Watch", "Maybe"))</f>
        <v>Maybe</v>
      </c>
    </row>
    <row r="553" spans="1:13" x14ac:dyDescent="0.25">
      <c r="A553">
        <v>552</v>
      </c>
      <c r="B553" t="s">
        <v>1613</v>
      </c>
      <c r="C553">
        <v>-1971</v>
      </c>
      <c r="D553" t="s">
        <v>236</v>
      </c>
      <c r="E553" t="s">
        <v>658</v>
      </c>
      <c r="F553" t="s">
        <v>132</v>
      </c>
      <c r="G553">
        <v>7.9</v>
      </c>
      <c r="H553">
        <v>62</v>
      </c>
      <c r="I553" t="s">
        <v>1291</v>
      </c>
      <c r="J553" s="3">
        <v>76947</v>
      </c>
      <c r="M553" s="3" t="str">
        <f>IF(I553="Billy Wilder", "Must Watch", IF(I553="John Ford", "Watch", "Maybe"))</f>
        <v>Maybe</v>
      </c>
    </row>
    <row r="554" spans="1:13" x14ac:dyDescent="0.25">
      <c r="A554">
        <v>553</v>
      </c>
      <c r="B554" t="s">
        <v>1614</v>
      </c>
      <c r="C554">
        <v>-1970</v>
      </c>
      <c r="D554" t="s">
        <v>155</v>
      </c>
      <c r="E554" t="s">
        <v>671</v>
      </c>
      <c r="F554" t="s">
        <v>1615</v>
      </c>
      <c r="G554">
        <v>7.9</v>
      </c>
      <c r="H554">
        <v>91</v>
      </c>
      <c r="I554" t="s">
        <v>1304</v>
      </c>
      <c r="J554" s="3">
        <v>101431</v>
      </c>
      <c r="K554" t="s">
        <v>1616</v>
      </c>
      <c r="M554" s="3" t="str">
        <f>IF(I554="Billy Wilder", "Must Watch", IF(I554="John Ford", "Watch", "Maybe"))</f>
        <v>Maybe</v>
      </c>
    </row>
    <row r="555" spans="1:13" x14ac:dyDescent="0.25">
      <c r="A555">
        <v>554</v>
      </c>
      <c r="B555" t="s">
        <v>1617</v>
      </c>
      <c r="C555">
        <v>-1970</v>
      </c>
      <c r="D555" t="s">
        <v>24</v>
      </c>
      <c r="E555" t="s">
        <v>325</v>
      </c>
      <c r="F555" t="s">
        <v>20</v>
      </c>
      <c r="G555">
        <v>7.9</v>
      </c>
      <c r="H555">
        <v>100</v>
      </c>
      <c r="I555" t="s">
        <v>1618</v>
      </c>
      <c r="J555" s="3">
        <v>30206</v>
      </c>
      <c r="K555" t="s">
        <v>482</v>
      </c>
      <c r="M555" s="3" t="str">
        <f>IF(I555="Billy Wilder", "Must Watch", IF(I555="John Ford", "Watch", "Maybe"))</f>
        <v>Maybe</v>
      </c>
    </row>
    <row r="556" spans="1:13" x14ac:dyDescent="0.25">
      <c r="A556">
        <v>555</v>
      </c>
      <c r="B556" t="s">
        <v>1619</v>
      </c>
      <c r="C556">
        <v>-1969</v>
      </c>
      <c r="D556">
        <v>18</v>
      </c>
      <c r="E556" t="s">
        <v>94</v>
      </c>
      <c r="F556" t="s">
        <v>1620</v>
      </c>
      <c r="G556">
        <v>7.9</v>
      </c>
      <c r="H556">
        <v>97</v>
      </c>
      <c r="I556" t="s">
        <v>1621</v>
      </c>
      <c r="J556" s="3">
        <v>84111</v>
      </c>
      <c r="K556" t="s">
        <v>1622</v>
      </c>
      <c r="M556" s="3" t="str">
        <f>IF(I556="Billy Wilder", "Must Watch", IF(I556="John Ford", "Watch", "Maybe"))</f>
        <v>Maybe</v>
      </c>
    </row>
    <row r="557" spans="1:13" x14ac:dyDescent="0.25">
      <c r="A557">
        <v>556</v>
      </c>
      <c r="B557" t="s">
        <v>1623</v>
      </c>
      <c r="C557">
        <v>-1968</v>
      </c>
      <c r="D557" t="s">
        <v>155</v>
      </c>
      <c r="E557" t="s">
        <v>331</v>
      </c>
      <c r="F557" t="s">
        <v>42</v>
      </c>
      <c r="G557">
        <v>7.9</v>
      </c>
      <c r="I557" t="s">
        <v>1624</v>
      </c>
      <c r="J557" s="3">
        <v>31372</v>
      </c>
      <c r="K557" t="s">
        <v>1625</v>
      </c>
      <c r="M557" s="3" t="str">
        <f>IF(I557="Billy Wilder", "Must Watch", IF(I557="John Ford", "Watch", "Maybe"))</f>
        <v>Maybe</v>
      </c>
    </row>
    <row r="558" spans="1:13" x14ac:dyDescent="0.25">
      <c r="A558">
        <v>557</v>
      </c>
      <c r="B558" t="s">
        <v>1626</v>
      </c>
      <c r="C558">
        <v>-1967</v>
      </c>
      <c r="D558" t="s">
        <v>155</v>
      </c>
      <c r="E558" t="s">
        <v>209</v>
      </c>
      <c r="F558" t="s">
        <v>317</v>
      </c>
      <c r="G558">
        <v>7.9</v>
      </c>
      <c r="H558">
        <v>75</v>
      </c>
      <c r="I558" t="s">
        <v>1315</v>
      </c>
      <c r="J558" s="3">
        <v>75527</v>
      </c>
      <c r="K558" t="s">
        <v>1627</v>
      </c>
      <c r="M558" s="3" t="str">
        <f>IF(I558="Billy Wilder", "Must Watch", IF(I558="John Ford", "Watch", "Maybe"))</f>
        <v>Maybe</v>
      </c>
    </row>
    <row r="559" spans="1:13" x14ac:dyDescent="0.25">
      <c r="A559">
        <v>558</v>
      </c>
      <c r="B559" t="s">
        <v>1628</v>
      </c>
      <c r="C559">
        <v>-1967</v>
      </c>
      <c r="D559" t="s">
        <v>24</v>
      </c>
      <c r="E559" t="s">
        <v>331</v>
      </c>
      <c r="F559" t="s">
        <v>95</v>
      </c>
      <c r="G559">
        <v>7.9</v>
      </c>
      <c r="H559">
        <v>89</v>
      </c>
      <c r="I559" t="s">
        <v>1629</v>
      </c>
      <c r="J559" s="3">
        <v>26489</v>
      </c>
      <c r="M559" s="3" t="str">
        <f>IF(I559="Billy Wilder", "Must Watch", IF(I559="John Ford", "Watch", "Maybe"))</f>
        <v>Maybe</v>
      </c>
    </row>
    <row r="560" spans="1:13" x14ac:dyDescent="0.25">
      <c r="A560">
        <v>559</v>
      </c>
      <c r="B560" t="s">
        <v>1630</v>
      </c>
      <c r="C560">
        <v>-1965</v>
      </c>
      <c r="D560" t="s">
        <v>155</v>
      </c>
      <c r="E560" t="s">
        <v>1631</v>
      </c>
      <c r="F560" t="s">
        <v>250</v>
      </c>
      <c r="G560">
        <v>7.9</v>
      </c>
      <c r="H560">
        <v>69</v>
      </c>
      <c r="I560" t="s">
        <v>467</v>
      </c>
      <c r="J560" s="3">
        <v>76036</v>
      </c>
      <c r="K560" t="s">
        <v>1632</v>
      </c>
      <c r="M560" s="3" t="str">
        <f>IF(I560="Billy Wilder", "Must Watch", IF(I560="John Ford", "Watch", "Maybe"))</f>
        <v>Maybe</v>
      </c>
    </row>
    <row r="561" spans="1:13" x14ac:dyDescent="0.25">
      <c r="A561">
        <v>560</v>
      </c>
      <c r="B561" t="s">
        <v>1633</v>
      </c>
      <c r="C561">
        <v>-1964</v>
      </c>
      <c r="D561" t="s">
        <v>24</v>
      </c>
      <c r="E561" t="s">
        <v>436</v>
      </c>
      <c r="F561" t="s">
        <v>1634</v>
      </c>
      <c r="G561">
        <v>7.9</v>
      </c>
      <c r="H561">
        <v>65</v>
      </c>
      <c r="I561" t="s">
        <v>83</v>
      </c>
      <c r="J561" s="3">
        <v>214335</v>
      </c>
      <c r="K561" t="s">
        <v>1635</v>
      </c>
      <c r="M561" s="3" t="str">
        <f>IF(I561="Billy Wilder", "Must Watch", IF(I561="John Ford", "Watch", "Maybe"))</f>
        <v>Maybe</v>
      </c>
    </row>
    <row r="562" spans="1:13" x14ac:dyDescent="0.25">
      <c r="A562">
        <v>561</v>
      </c>
      <c r="B562" t="s">
        <v>1636</v>
      </c>
      <c r="C562">
        <v>-1963</v>
      </c>
      <c r="D562" t="s">
        <v>74</v>
      </c>
      <c r="E562" t="s">
        <v>325</v>
      </c>
      <c r="F562" t="s">
        <v>1637</v>
      </c>
      <c r="G562">
        <v>7.9</v>
      </c>
      <c r="H562">
        <v>83</v>
      </c>
      <c r="I562" t="s">
        <v>485</v>
      </c>
      <c r="J562" s="3">
        <v>76464</v>
      </c>
      <c r="K562" t="s">
        <v>1638</v>
      </c>
      <c r="M562" s="3" t="str">
        <f>IF(I562="Billy Wilder", "Must Watch", IF(I562="John Ford", "Watch", "Maybe"))</f>
        <v>Maybe</v>
      </c>
    </row>
    <row r="563" spans="1:13" x14ac:dyDescent="0.25">
      <c r="A563">
        <v>562</v>
      </c>
      <c r="B563" t="s">
        <v>1639</v>
      </c>
      <c r="C563">
        <v>-1962</v>
      </c>
      <c r="D563" t="s">
        <v>24</v>
      </c>
      <c r="E563" t="s">
        <v>1555</v>
      </c>
      <c r="F563" t="s">
        <v>20</v>
      </c>
      <c r="G563">
        <v>7.9</v>
      </c>
      <c r="I563" t="s">
        <v>1640</v>
      </c>
      <c r="J563" s="3">
        <v>31384</v>
      </c>
      <c r="M563" s="3" t="str">
        <f>IF(I563="Billy Wilder", "Must Watch", IF(I563="John Ford", "Watch", "Maybe"))</f>
        <v>Maybe</v>
      </c>
    </row>
    <row r="564" spans="1:13" x14ac:dyDescent="0.25">
      <c r="A564">
        <v>563</v>
      </c>
      <c r="B564" t="s">
        <v>1641</v>
      </c>
      <c r="C564">
        <v>-1962</v>
      </c>
      <c r="D564" t="s">
        <v>30</v>
      </c>
      <c r="E564" t="s">
        <v>263</v>
      </c>
      <c r="F564" t="s">
        <v>756</v>
      </c>
      <c r="G564">
        <v>7.9</v>
      </c>
      <c r="H564">
        <v>94</v>
      </c>
      <c r="I564" t="s">
        <v>1642</v>
      </c>
      <c r="J564" s="3">
        <v>75156</v>
      </c>
      <c r="M564" s="3" t="str">
        <f>IF(I564="Billy Wilder", "Must Watch", IF(I564="John Ford", "Watch", "Maybe"))</f>
        <v>Maybe</v>
      </c>
    </row>
    <row r="565" spans="1:13" x14ac:dyDescent="0.25">
      <c r="A565">
        <v>564</v>
      </c>
      <c r="B565" t="s">
        <v>1643</v>
      </c>
      <c r="C565">
        <v>-1960</v>
      </c>
      <c r="D565" t="s">
        <v>74</v>
      </c>
      <c r="E565" t="s">
        <v>1644</v>
      </c>
      <c r="F565" t="s">
        <v>466</v>
      </c>
      <c r="G565">
        <v>7.9</v>
      </c>
      <c r="H565">
        <v>87</v>
      </c>
      <c r="I565" t="s">
        <v>351</v>
      </c>
      <c r="J565" s="3">
        <v>133765</v>
      </c>
      <c r="K565" t="s">
        <v>1645</v>
      </c>
      <c r="M565" s="3" t="str">
        <f>IF(I565="Billy Wilder", "Must Watch", IF(I565="John Ford", "Watch", "Maybe"))</f>
        <v>Maybe</v>
      </c>
    </row>
    <row r="566" spans="1:13" x14ac:dyDescent="0.25">
      <c r="A566">
        <v>565</v>
      </c>
      <c r="B566" t="s">
        <v>1646</v>
      </c>
      <c r="C566">
        <v>-1959</v>
      </c>
      <c r="D566" t="s">
        <v>24</v>
      </c>
      <c r="E566" t="s">
        <v>1244</v>
      </c>
      <c r="F566" t="s">
        <v>78</v>
      </c>
      <c r="G566">
        <v>7.9</v>
      </c>
      <c r="I566" t="s">
        <v>1647</v>
      </c>
      <c r="J566" s="3">
        <v>31797</v>
      </c>
      <c r="K566" t="s">
        <v>1648</v>
      </c>
      <c r="M566" s="3" t="str">
        <f>IF(I566="Billy Wilder", "Must Watch", IF(I566="John Ford", "Watch", "Maybe"))</f>
        <v>Maybe</v>
      </c>
    </row>
    <row r="567" spans="1:13" x14ac:dyDescent="0.25">
      <c r="A567">
        <v>566</v>
      </c>
      <c r="B567" t="s">
        <v>1649</v>
      </c>
      <c r="C567">
        <v>-1958</v>
      </c>
      <c r="D567" t="s">
        <v>24</v>
      </c>
      <c r="E567" t="s">
        <v>409</v>
      </c>
      <c r="F567" t="s">
        <v>20</v>
      </c>
      <c r="G567">
        <v>7.9</v>
      </c>
      <c r="H567">
        <v>84</v>
      </c>
      <c r="I567" t="s">
        <v>1629</v>
      </c>
      <c r="J567" s="3">
        <v>49152</v>
      </c>
      <c r="K567" t="s">
        <v>1650</v>
      </c>
      <c r="M567" s="3" t="str">
        <f>IF(I567="Billy Wilder", "Must Watch", IF(I567="John Ford", "Watch", "Maybe"))</f>
        <v>Maybe</v>
      </c>
    </row>
    <row r="568" spans="1:13" x14ac:dyDescent="0.25">
      <c r="A568">
        <v>567</v>
      </c>
      <c r="B568" t="s">
        <v>1651</v>
      </c>
      <c r="C568">
        <v>-1956</v>
      </c>
      <c r="D568" t="s">
        <v>49</v>
      </c>
      <c r="E568" t="s">
        <v>1652</v>
      </c>
      <c r="F568" t="s">
        <v>1653</v>
      </c>
      <c r="G568">
        <v>7.9</v>
      </c>
      <c r="I568" t="s">
        <v>1654</v>
      </c>
      <c r="J568" s="3">
        <v>70594</v>
      </c>
      <c r="K568" t="s">
        <v>1655</v>
      </c>
      <c r="M568" s="3" t="str">
        <f>IF(I568="Billy Wilder", "Must Watch", IF(I568="John Ford", "Watch", "Maybe"))</f>
        <v>Maybe</v>
      </c>
    </row>
    <row r="569" spans="1:13" x14ac:dyDescent="0.25">
      <c r="A569">
        <v>568</v>
      </c>
      <c r="B569" t="s">
        <v>1656</v>
      </c>
      <c r="C569">
        <v>-1956</v>
      </c>
      <c r="D569" t="s">
        <v>74</v>
      </c>
      <c r="E569" t="s">
        <v>202</v>
      </c>
      <c r="F569" t="s">
        <v>697</v>
      </c>
      <c r="G569">
        <v>7.9</v>
      </c>
      <c r="H569">
        <v>94</v>
      </c>
      <c r="I569" t="s">
        <v>998</v>
      </c>
      <c r="J569" s="3">
        <v>88465</v>
      </c>
      <c r="M569" s="3" t="str">
        <f>IF(I569="Billy Wilder", "Must Watch", IF(I569="John Ford", "Watch", "Maybe"))</f>
        <v>Watch</v>
      </c>
    </row>
    <row r="570" spans="1:13" x14ac:dyDescent="0.25">
      <c r="A570">
        <v>569</v>
      </c>
      <c r="B570" t="s">
        <v>1657</v>
      </c>
      <c r="C570">
        <v>-1953</v>
      </c>
      <c r="D570" t="s">
        <v>24</v>
      </c>
      <c r="E570" t="s">
        <v>221</v>
      </c>
      <c r="F570" t="s">
        <v>1658</v>
      </c>
      <c r="G570">
        <v>7.9</v>
      </c>
      <c r="I570" t="s">
        <v>501</v>
      </c>
      <c r="J570" s="3">
        <v>26610</v>
      </c>
      <c r="M570" s="3" t="str">
        <f>IF(I570="Billy Wilder", "Must Watch", IF(I570="John Ford", "Watch", "Maybe"))</f>
        <v>Maybe</v>
      </c>
    </row>
    <row r="571" spans="1:13" x14ac:dyDescent="0.25">
      <c r="A571">
        <v>570</v>
      </c>
      <c r="B571" t="s">
        <v>1659</v>
      </c>
      <c r="C571">
        <v>-1951</v>
      </c>
      <c r="D571" t="s">
        <v>24</v>
      </c>
      <c r="E571" t="s">
        <v>268</v>
      </c>
      <c r="F571" t="s">
        <v>20</v>
      </c>
      <c r="G571">
        <v>7.9</v>
      </c>
      <c r="H571">
        <v>97</v>
      </c>
      <c r="I571" t="s">
        <v>1020</v>
      </c>
      <c r="J571" s="3">
        <v>107234</v>
      </c>
      <c r="K571" t="s">
        <v>1660</v>
      </c>
      <c r="M571" s="3" t="str">
        <f>IF(I571="Billy Wilder", "Must Watch", IF(I571="John Ford", "Watch", "Maybe"))</f>
        <v>Maybe</v>
      </c>
    </row>
    <row r="572" spans="1:13" x14ac:dyDescent="0.25">
      <c r="A572">
        <v>571</v>
      </c>
      <c r="B572" t="s">
        <v>1661</v>
      </c>
      <c r="C572">
        <v>-1951</v>
      </c>
      <c r="D572" t="s">
        <v>155</v>
      </c>
      <c r="E572" t="s">
        <v>321</v>
      </c>
      <c r="F572" t="s">
        <v>494</v>
      </c>
      <c r="G572">
        <v>7.9</v>
      </c>
      <c r="H572">
        <v>88</v>
      </c>
      <c r="I572" t="s">
        <v>243</v>
      </c>
      <c r="J572" s="3">
        <v>132742</v>
      </c>
      <c r="K572" t="s">
        <v>1662</v>
      </c>
      <c r="M572" s="3" t="str">
        <f>IF(I572="Billy Wilder", "Must Watch", IF(I572="John Ford", "Watch", "Maybe"))</f>
        <v>Maybe</v>
      </c>
    </row>
    <row r="573" spans="1:13" x14ac:dyDescent="0.25">
      <c r="A573">
        <v>572</v>
      </c>
      <c r="B573" t="s">
        <v>1663</v>
      </c>
      <c r="C573">
        <v>-1950</v>
      </c>
      <c r="D573" t="s">
        <v>74</v>
      </c>
      <c r="E573" t="s">
        <v>1057</v>
      </c>
      <c r="F573" t="s">
        <v>1041</v>
      </c>
      <c r="G573">
        <v>7.9</v>
      </c>
      <c r="I573" t="s">
        <v>1664</v>
      </c>
      <c r="J573" s="3">
        <v>31246</v>
      </c>
      <c r="M573" s="3" t="str">
        <f>IF(I573="Billy Wilder", "Must Watch", IF(I573="John Ford", "Watch", "Maybe"))</f>
        <v>Maybe</v>
      </c>
    </row>
    <row r="574" spans="1:13" x14ac:dyDescent="0.25">
      <c r="A574">
        <v>573</v>
      </c>
      <c r="B574" t="s">
        <v>1665</v>
      </c>
      <c r="C574">
        <v>-1950</v>
      </c>
      <c r="D574" t="s">
        <v>49</v>
      </c>
      <c r="E574" t="s">
        <v>418</v>
      </c>
      <c r="F574" t="s">
        <v>769</v>
      </c>
      <c r="G574">
        <v>7.9</v>
      </c>
      <c r="I574" t="s">
        <v>1666</v>
      </c>
      <c r="J574" s="3">
        <v>55466</v>
      </c>
      <c r="M574" s="3" t="str">
        <f>IF(I574="Billy Wilder", "Must Watch", IF(I574="John Ford", "Watch", "Maybe"))</f>
        <v>Maybe</v>
      </c>
    </row>
    <row r="575" spans="1:13" x14ac:dyDescent="0.25">
      <c r="A575">
        <v>574</v>
      </c>
      <c r="B575" t="s">
        <v>1667</v>
      </c>
      <c r="C575">
        <v>-1948</v>
      </c>
      <c r="D575" t="s">
        <v>74</v>
      </c>
      <c r="E575" t="s">
        <v>851</v>
      </c>
      <c r="F575" t="s">
        <v>56</v>
      </c>
      <c r="G575">
        <v>7.9</v>
      </c>
      <c r="H575">
        <v>73</v>
      </c>
      <c r="I575" t="s">
        <v>243</v>
      </c>
      <c r="J575" s="3">
        <v>141511</v>
      </c>
      <c r="M575" s="3" t="str">
        <f>IF(I575="Billy Wilder", "Must Watch", IF(I575="John Ford", "Watch", "Maybe"))</f>
        <v>Maybe</v>
      </c>
    </row>
    <row r="576" spans="1:13" x14ac:dyDescent="0.25">
      <c r="A576">
        <v>575</v>
      </c>
      <c r="B576" t="s">
        <v>1668</v>
      </c>
      <c r="C576">
        <v>-1947</v>
      </c>
      <c r="D576" t="s">
        <v>49</v>
      </c>
      <c r="E576" t="s">
        <v>50</v>
      </c>
      <c r="F576" t="s">
        <v>508</v>
      </c>
      <c r="G576">
        <v>7.9</v>
      </c>
      <c r="H576">
        <v>88</v>
      </c>
      <c r="I576" t="s">
        <v>1669</v>
      </c>
      <c r="J576" s="3">
        <v>47484</v>
      </c>
      <c r="K576" t="s">
        <v>1670</v>
      </c>
      <c r="M576" s="3" t="str">
        <f>IF(I576="Billy Wilder", "Must Watch", IF(I576="John Ford", "Watch", "Maybe"))</f>
        <v>Maybe</v>
      </c>
    </row>
    <row r="577" spans="1:13" x14ac:dyDescent="0.25">
      <c r="A577">
        <v>576</v>
      </c>
      <c r="B577" t="s">
        <v>1671</v>
      </c>
      <c r="C577">
        <v>-1946</v>
      </c>
      <c r="D577" t="s">
        <v>155</v>
      </c>
      <c r="E577" t="s">
        <v>249</v>
      </c>
      <c r="F577" t="s">
        <v>1672</v>
      </c>
      <c r="G577">
        <v>7.9</v>
      </c>
      <c r="H577">
        <v>100</v>
      </c>
      <c r="I577" t="s">
        <v>243</v>
      </c>
      <c r="J577" s="3">
        <v>100322</v>
      </c>
      <c r="K577" t="s">
        <v>1673</v>
      </c>
      <c r="M577" s="3" t="str">
        <f>IF(I577="Billy Wilder", "Must Watch", IF(I577="John Ford", "Watch", "Maybe"))</f>
        <v>Maybe</v>
      </c>
    </row>
    <row r="578" spans="1:13" x14ac:dyDescent="0.25">
      <c r="A578">
        <v>577</v>
      </c>
      <c r="B578" t="s">
        <v>1674</v>
      </c>
      <c r="C578">
        <v>-1946</v>
      </c>
      <c r="D578" t="s">
        <v>155</v>
      </c>
      <c r="E578" t="s">
        <v>655</v>
      </c>
      <c r="F578" t="s">
        <v>1377</v>
      </c>
      <c r="G578">
        <v>7.9</v>
      </c>
      <c r="H578">
        <v>86</v>
      </c>
      <c r="I578" t="s">
        <v>1348</v>
      </c>
      <c r="J578" s="3">
        <v>85061</v>
      </c>
      <c r="K578" t="s">
        <v>1675</v>
      </c>
      <c r="M578" s="3" t="str">
        <f>IF(I578="Billy Wilder", "Must Watch", IF(I578="John Ford", "Watch", "Maybe"))</f>
        <v>Maybe</v>
      </c>
    </row>
    <row r="579" spans="1:13" x14ac:dyDescent="0.25">
      <c r="A579">
        <v>578</v>
      </c>
      <c r="B579" t="s">
        <v>1676</v>
      </c>
      <c r="C579">
        <v>-1946</v>
      </c>
      <c r="D579" t="s">
        <v>155</v>
      </c>
      <c r="E579" t="s">
        <v>50</v>
      </c>
      <c r="F579" t="s">
        <v>1267</v>
      </c>
      <c r="G579">
        <v>7.9</v>
      </c>
      <c r="H579">
        <v>92</v>
      </c>
      <c r="I579" t="s">
        <v>1677</v>
      </c>
      <c r="J579" s="3">
        <v>26345</v>
      </c>
      <c r="K579" t="s">
        <v>869</v>
      </c>
      <c r="M579" s="3" t="str">
        <f>IF(I579="Billy Wilder", "Must Watch", IF(I579="John Ford", "Watch", "Maybe"))</f>
        <v>Maybe</v>
      </c>
    </row>
    <row r="580" spans="1:13" x14ac:dyDescent="0.25">
      <c r="A580">
        <v>579</v>
      </c>
      <c r="B580" t="s">
        <v>1678</v>
      </c>
      <c r="C580">
        <v>-1945</v>
      </c>
      <c r="D580" t="s">
        <v>155</v>
      </c>
      <c r="E580" t="s">
        <v>321</v>
      </c>
      <c r="F580" t="s">
        <v>364</v>
      </c>
      <c r="G580">
        <v>7.9</v>
      </c>
      <c r="I580" t="s">
        <v>360</v>
      </c>
      <c r="J580" s="3">
        <v>36809</v>
      </c>
      <c r="K580" t="s">
        <v>1679</v>
      </c>
      <c r="M580" s="3" t="str">
        <f>IF(I580="Billy Wilder", "Must Watch", IF(I580="John Ford", "Watch", "Maybe"))</f>
        <v>Must Watch</v>
      </c>
    </row>
    <row r="581" spans="1:13" x14ac:dyDescent="0.25">
      <c r="A581">
        <v>580</v>
      </c>
      <c r="B581" t="s">
        <v>1680</v>
      </c>
      <c r="C581">
        <v>-1944</v>
      </c>
      <c r="D581" t="s">
        <v>155</v>
      </c>
      <c r="E581" t="s">
        <v>213</v>
      </c>
      <c r="F581" t="s">
        <v>1041</v>
      </c>
      <c r="G581">
        <v>7.9</v>
      </c>
      <c r="I581" t="s">
        <v>1351</v>
      </c>
      <c r="J581" s="3">
        <v>47083</v>
      </c>
      <c r="K581" t="s">
        <v>52</v>
      </c>
      <c r="M581" s="3" t="str">
        <f>IF(I581="Billy Wilder", "Must Watch", IF(I581="John Ford", "Watch", "Maybe"))</f>
        <v>Maybe</v>
      </c>
    </row>
    <row r="582" spans="1:13" x14ac:dyDescent="0.25">
      <c r="A582">
        <v>581</v>
      </c>
      <c r="B582" t="s">
        <v>1681</v>
      </c>
      <c r="C582">
        <v>-1943</v>
      </c>
      <c r="D582" t="s">
        <v>74</v>
      </c>
      <c r="E582" t="s">
        <v>143</v>
      </c>
      <c r="F582" t="s">
        <v>1682</v>
      </c>
      <c r="G582">
        <v>7.9</v>
      </c>
      <c r="I582" t="s">
        <v>161</v>
      </c>
      <c r="J582" s="3">
        <v>70312</v>
      </c>
      <c r="M582" s="3" t="str">
        <f>IF(I582="Billy Wilder", "Must Watch", IF(I582="John Ford", "Watch", "Maybe"))</f>
        <v>Maybe</v>
      </c>
    </row>
    <row r="583" spans="1:13" x14ac:dyDescent="0.25">
      <c r="A583">
        <v>582</v>
      </c>
      <c r="B583" t="s">
        <v>1683</v>
      </c>
      <c r="C583">
        <v>-1941</v>
      </c>
      <c r="D583" t="s">
        <v>155</v>
      </c>
      <c r="E583" t="s">
        <v>1244</v>
      </c>
      <c r="F583" t="s">
        <v>714</v>
      </c>
      <c r="G583">
        <v>7.9</v>
      </c>
      <c r="I583" t="s">
        <v>1684</v>
      </c>
      <c r="J583" s="3">
        <v>26206</v>
      </c>
      <c r="M583" s="3" t="str">
        <f>IF(I583="Billy Wilder", "Must Watch", IF(I583="John Ford", "Watch", "Maybe"))</f>
        <v>Maybe</v>
      </c>
    </row>
    <row r="584" spans="1:13" x14ac:dyDescent="0.25">
      <c r="A584">
        <v>583</v>
      </c>
      <c r="B584" t="s">
        <v>1685</v>
      </c>
      <c r="C584">
        <v>-1940</v>
      </c>
      <c r="D584" t="s">
        <v>155</v>
      </c>
      <c r="E584" t="s">
        <v>176</v>
      </c>
      <c r="F584" t="s">
        <v>414</v>
      </c>
      <c r="G584">
        <v>7.9</v>
      </c>
      <c r="H584">
        <v>96</v>
      </c>
      <c r="I584" t="s">
        <v>1686</v>
      </c>
      <c r="J584" s="3">
        <v>68752</v>
      </c>
      <c r="M584" s="3" t="str">
        <f>IF(I584="Billy Wilder", "Must Watch", IF(I584="John Ford", "Watch", "Maybe"))</f>
        <v>Maybe</v>
      </c>
    </row>
    <row r="585" spans="1:13" x14ac:dyDescent="0.25">
      <c r="A585">
        <v>584</v>
      </c>
      <c r="B585" t="s">
        <v>1687</v>
      </c>
      <c r="C585">
        <v>-1939</v>
      </c>
      <c r="D585" t="s">
        <v>74</v>
      </c>
      <c r="E585" t="s">
        <v>209</v>
      </c>
      <c r="F585" t="s">
        <v>304</v>
      </c>
      <c r="G585">
        <v>7.9</v>
      </c>
      <c r="I585" t="s">
        <v>1048</v>
      </c>
      <c r="J585" s="3">
        <v>28863</v>
      </c>
      <c r="M585" s="3" t="str">
        <f>IF(I585="Billy Wilder", "Must Watch", IF(I585="John Ford", "Watch", "Maybe"))</f>
        <v>Maybe</v>
      </c>
    </row>
    <row r="586" spans="1:13" x14ac:dyDescent="0.25">
      <c r="A586">
        <v>585</v>
      </c>
      <c r="B586" t="s">
        <v>1688</v>
      </c>
      <c r="C586">
        <v>-1938</v>
      </c>
      <c r="D586" t="s">
        <v>49</v>
      </c>
      <c r="E586" t="s">
        <v>249</v>
      </c>
      <c r="F586" t="s">
        <v>1689</v>
      </c>
      <c r="G586">
        <v>7.9</v>
      </c>
      <c r="H586">
        <v>97</v>
      </c>
      <c r="I586" t="s">
        <v>251</v>
      </c>
      <c r="J586" s="3">
        <v>50789</v>
      </c>
      <c r="K586" t="s">
        <v>1690</v>
      </c>
      <c r="M586" s="3" t="str">
        <f>IF(I586="Billy Wilder", "Must Watch", IF(I586="John Ford", "Watch", "Maybe"))</f>
        <v>Maybe</v>
      </c>
    </row>
    <row r="587" spans="1:13" x14ac:dyDescent="0.25">
      <c r="A587">
        <v>586</v>
      </c>
      <c r="B587" t="s">
        <v>1691</v>
      </c>
      <c r="C587">
        <v>-1934</v>
      </c>
      <c r="D587" t="s">
        <v>155</v>
      </c>
      <c r="E587" t="s">
        <v>658</v>
      </c>
      <c r="F587" t="s">
        <v>1692</v>
      </c>
      <c r="G587">
        <v>7.9</v>
      </c>
      <c r="H587">
        <v>86</v>
      </c>
      <c r="I587" t="s">
        <v>1693</v>
      </c>
      <c r="J587" s="3">
        <v>29422</v>
      </c>
      <c r="M587" s="3" t="str">
        <f>IF(I587="Billy Wilder", "Must Watch", IF(I587="John Ford", "Watch", "Maybe"))</f>
        <v>Maybe</v>
      </c>
    </row>
    <row r="588" spans="1:13" x14ac:dyDescent="0.25">
      <c r="A588">
        <v>587</v>
      </c>
      <c r="B588" t="s">
        <v>1694</v>
      </c>
      <c r="C588">
        <v>-1933</v>
      </c>
      <c r="D588" t="s">
        <v>155</v>
      </c>
      <c r="E588" t="s">
        <v>613</v>
      </c>
      <c r="F588" t="s">
        <v>1695</v>
      </c>
      <c r="G588">
        <v>7.9</v>
      </c>
      <c r="H588">
        <v>90</v>
      </c>
      <c r="I588" t="s">
        <v>1696</v>
      </c>
      <c r="J588" s="3">
        <v>84903</v>
      </c>
      <c r="K588" t="s">
        <v>1697</v>
      </c>
      <c r="M588" s="3" t="str">
        <f>IF(I588="Billy Wilder", "Must Watch", IF(I588="John Ford", "Watch", "Maybe"))</f>
        <v>Maybe</v>
      </c>
    </row>
    <row r="589" spans="1:13" x14ac:dyDescent="0.25">
      <c r="A589">
        <v>588</v>
      </c>
      <c r="B589" t="s">
        <v>1698</v>
      </c>
      <c r="C589">
        <v>-1932</v>
      </c>
      <c r="D589" t="s">
        <v>1380</v>
      </c>
      <c r="E589" t="s">
        <v>1699</v>
      </c>
      <c r="F589" t="s">
        <v>350</v>
      </c>
      <c r="G589">
        <v>7.9</v>
      </c>
      <c r="H589">
        <v>80</v>
      </c>
      <c r="I589" t="s">
        <v>1700</v>
      </c>
      <c r="J589" s="3">
        <v>46061</v>
      </c>
      <c r="M589" s="3" t="str">
        <f>IF(I589="Billy Wilder", "Must Watch", IF(I589="John Ford", "Watch", "Maybe"))</f>
        <v>Maybe</v>
      </c>
    </row>
    <row r="590" spans="1:13" x14ac:dyDescent="0.25">
      <c r="A590">
        <v>589</v>
      </c>
      <c r="B590" t="s">
        <v>1701</v>
      </c>
      <c r="C590">
        <v>-1922</v>
      </c>
      <c r="D590" t="s">
        <v>155</v>
      </c>
      <c r="E590" t="s">
        <v>1057</v>
      </c>
      <c r="F590" t="s">
        <v>1702</v>
      </c>
      <c r="G590">
        <v>7.9</v>
      </c>
      <c r="I590" t="s">
        <v>1058</v>
      </c>
      <c r="J590" s="3">
        <v>95938</v>
      </c>
      <c r="M590" s="3" t="str">
        <f>IF(I590="Billy Wilder", "Must Watch", IF(I590="John Ford", "Watch", "Maybe"))</f>
        <v>Maybe</v>
      </c>
    </row>
    <row r="591" spans="1:13" x14ac:dyDescent="0.25">
      <c r="A591">
        <v>590</v>
      </c>
      <c r="B591" t="s">
        <v>1703</v>
      </c>
      <c r="C591">
        <v>-2019</v>
      </c>
      <c r="D591">
        <v>18</v>
      </c>
      <c r="E591" t="s">
        <v>325</v>
      </c>
      <c r="F591" t="s">
        <v>550</v>
      </c>
      <c r="G591">
        <v>7.8</v>
      </c>
      <c r="H591">
        <v>51</v>
      </c>
      <c r="I591" t="s">
        <v>420</v>
      </c>
      <c r="J591" s="3">
        <v>322430</v>
      </c>
      <c r="M591" s="3" t="str">
        <f>IF(I591="Billy Wilder", "Must Watch", IF(I591="John Ford", "Watch", "Maybe"))</f>
        <v>Maybe</v>
      </c>
    </row>
    <row r="592" spans="1:13" x14ac:dyDescent="0.25">
      <c r="A592">
        <v>591</v>
      </c>
      <c r="B592" t="s">
        <v>1704</v>
      </c>
      <c r="C592">
        <v>-2018</v>
      </c>
      <c r="D592" t="s">
        <v>74</v>
      </c>
      <c r="E592" t="s">
        <v>613</v>
      </c>
      <c r="F592" t="s">
        <v>279</v>
      </c>
      <c r="G592">
        <v>7.8</v>
      </c>
      <c r="H592">
        <v>59</v>
      </c>
      <c r="I592" t="s">
        <v>1705</v>
      </c>
      <c r="J592" s="3">
        <v>26599</v>
      </c>
      <c r="K592" t="s">
        <v>1706</v>
      </c>
      <c r="M592" s="3" t="str">
        <f>IF(I592="Billy Wilder", "Must Watch", IF(I592="John Ford", "Watch", "Maybe"))</f>
        <v>Maybe</v>
      </c>
    </row>
    <row r="593" spans="1:13" x14ac:dyDescent="0.25">
      <c r="A593">
        <v>592</v>
      </c>
      <c r="B593" t="s">
        <v>1707</v>
      </c>
      <c r="C593">
        <v>-2017</v>
      </c>
      <c r="D593" t="s">
        <v>74</v>
      </c>
      <c r="E593" t="s">
        <v>166</v>
      </c>
      <c r="F593" t="s">
        <v>304</v>
      </c>
      <c r="G593">
        <v>7.8</v>
      </c>
      <c r="I593" t="s">
        <v>1708</v>
      </c>
      <c r="J593" s="3">
        <v>28337</v>
      </c>
      <c r="M593" s="3" t="str">
        <f>IF(I593="Billy Wilder", "Must Watch", IF(I593="John Ford", "Watch", "Maybe"))</f>
        <v>Maybe</v>
      </c>
    </row>
    <row r="594" spans="1:13" x14ac:dyDescent="0.25">
      <c r="A594">
        <v>593</v>
      </c>
      <c r="B594" t="s">
        <v>1709</v>
      </c>
      <c r="C594">
        <v>-2017</v>
      </c>
      <c r="D594">
        <v>15</v>
      </c>
      <c r="E594" t="s">
        <v>166</v>
      </c>
      <c r="F594" t="s">
        <v>78</v>
      </c>
      <c r="G594">
        <v>7.8</v>
      </c>
      <c r="H594">
        <v>93</v>
      </c>
      <c r="I594" t="s">
        <v>1710</v>
      </c>
      <c r="J594" s="3">
        <v>261160</v>
      </c>
      <c r="K594" t="s">
        <v>1711</v>
      </c>
      <c r="M594" s="3" t="str">
        <f>IF(I594="Billy Wilder", "Must Watch", IF(I594="John Ford", "Watch", "Maybe"))</f>
        <v>Maybe</v>
      </c>
    </row>
    <row r="595" spans="1:13" x14ac:dyDescent="0.25">
      <c r="A595">
        <v>594</v>
      </c>
      <c r="B595" t="s">
        <v>1712</v>
      </c>
      <c r="C595">
        <v>-2016</v>
      </c>
      <c r="D595">
        <v>15</v>
      </c>
      <c r="E595" t="s">
        <v>613</v>
      </c>
      <c r="F595" t="s">
        <v>20</v>
      </c>
      <c r="G595">
        <v>7.8</v>
      </c>
      <c r="H595">
        <v>78</v>
      </c>
      <c r="I595" t="s">
        <v>1713</v>
      </c>
      <c r="J595" s="3">
        <v>59536</v>
      </c>
      <c r="K595" t="s">
        <v>1218</v>
      </c>
      <c r="M595" s="3" t="str">
        <f>IF(I595="Billy Wilder", "Must Watch", IF(I595="John Ford", "Watch", "Maybe"))</f>
        <v>Maybe</v>
      </c>
    </row>
    <row r="596" spans="1:13" x14ac:dyDescent="0.25">
      <c r="A596">
        <v>595</v>
      </c>
      <c r="B596" t="s">
        <v>1714</v>
      </c>
      <c r="C596">
        <v>-2018</v>
      </c>
      <c r="D596" t="s">
        <v>74</v>
      </c>
      <c r="E596" t="s">
        <v>321</v>
      </c>
      <c r="F596" t="s">
        <v>292</v>
      </c>
      <c r="G596">
        <v>7.8</v>
      </c>
      <c r="H596">
        <v>82</v>
      </c>
      <c r="I596" t="s">
        <v>774</v>
      </c>
      <c r="J596" s="3">
        <v>164645</v>
      </c>
      <c r="K596" t="s">
        <v>1715</v>
      </c>
      <c r="M596" s="3" t="str">
        <f>IF(I596="Billy Wilder", "Must Watch", IF(I596="John Ford", "Watch", "Maybe"))</f>
        <v>Maybe</v>
      </c>
    </row>
    <row r="597" spans="1:13" x14ac:dyDescent="0.25">
      <c r="A597">
        <v>596</v>
      </c>
      <c r="B597" t="s">
        <v>1716</v>
      </c>
      <c r="C597">
        <v>-2017</v>
      </c>
      <c r="D597" t="s">
        <v>30</v>
      </c>
      <c r="E597" t="s">
        <v>171</v>
      </c>
      <c r="F597" t="s">
        <v>516</v>
      </c>
      <c r="G597">
        <v>7.8</v>
      </c>
      <c r="H597">
        <v>94</v>
      </c>
      <c r="I597" t="s">
        <v>33</v>
      </c>
      <c r="J597" s="3">
        <v>637254</v>
      </c>
      <c r="K597" t="s">
        <v>1717</v>
      </c>
      <c r="M597" s="3" t="str">
        <f>IF(I597="Billy Wilder", "Must Watch", IF(I597="John Ford", "Watch", "Maybe"))</f>
        <v>Maybe</v>
      </c>
    </row>
    <row r="598" spans="1:13" x14ac:dyDescent="0.25">
      <c r="A598">
        <v>597</v>
      </c>
      <c r="B598" t="s">
        <v>1718</v>
      </c>
      <c r="C598">
        <v>-2016</v>
      </c>
      <c r="D598" t="s">
        <v>74</v>
      </c>
      <c r="E598" t="s">
        <v>136</v>
      </c>
      <c r="F598" t="s">
        <v>42</v>
      </c>
      <c r="G598">
        <v>7.8</v>
      </c>
      <c r="H598">
        <v>74</v>
      </c>
      <c r="I598" t="s">
        <v>1719</v>
      </c>
      <c r="J598" s="3">
        <v>224366</v>
      </c>
      <c r="K598" t="s">
        <v>1720</v>
      </c>
      <c r="M598" s="3" t="str">
        <f>IF(I598="Billy Wilder", "Must Watch", IF(I598="John Ford", "Watch", "Maybe"))</f>
        <v>Maybe</v>
      </c>
    </row>
    <row r="599" spans="1:13" x14ac:dyDescent="0.25">
      <c r="A599">
        <v>598</v>
      </c>
      <c r="B599" t="s">
        <v>1721</v>
      </c>
      <c r="C599">
        <v>-2016</v>
      </c>
      <c r="D599" t="s">
        <v>30</v>
      </c>
      <c r="E599" t="s">
        <v>321</v>
      </c>
      <c r="F599" t="s">
        <v>714</v>
      </c>
      <c r="G599">
        <v>7.8</v>
      </c>
      <c r="H599">
        <v>81</v>
      </c>
      <c r="I599" t="s">
        <v>1410</v>
      </c>
      <c r="J599" s="3">
        <v>128308</v>
      </c>
      <c r="K599" t="s">
        <v>1722</v>
      </c>
      <c r="M599" s="3" t="str">
        <f>IF(I599="Billy Wilder", "Must Watch", IF(I599="John Ford", "Watch", "Maybe"))</f>
        <v>Maybe</v>
      </c>
    </row>
    <row r="600" spans="1:13" x14ac:dyDescent="0.25">
      <c r="A600">
        <v>599</v>
      </c>
      <c r="B600" t="s">
        <v>1723</v>
      </c>
      <c r="C600">
        <v>-2017</v>
      </c>
      <c r="D600" t="s">
        <v>74</v>
      </c>
      <c r="E600" t="s">
        <v>403</v>
      </c>
      <c r="F600" t="s">
        <v>1724</v>
      </c>
      <c r="G600">
        <v>7.8</v>
      </c>
      <c r="H600">
        <v>88</v>
      </c>
      <c r="I600" t="s">
        <v>1725</v>
      </c>
      <c r="J600" s="3">
        <v>75155</v>
      </c>
      <c r="K600" t="s">
        <v>1726</v>
      </c>
      <c r="M600" s="3" t="str">
        <f>IF(I600="Billy Wilder", "Must Watch", IF(I600="John Ford", "Watch", "Maybe"))</f>
        <v>Maybe</v>
      </c>
    </row>
    <row r="601" spans="1:13" x14ac:dyDescent="0.25">
      <c r="A601">
        <v>600</v>
      </c>
      <c r="B601" t="s">
        <v>1727</v>
      </c>
      <c r="C601">
        <v>-2016</v>
      </c>
      <c r="D601">
        <v>15</v>
      </c>
      <c r="E601" t="s">
        <v>139</v>
      </c>
      <c r="F601" t="s">
        <v>20</v>
      </c>
      <c r="G601">
        <v>7.8</v>
      </c>
      <c r="H601">
        <v>96</v>
      </c>
      <c r="I601" t="s">
        <v>1728</v>
      </c>
      <c r="J601" s="3">
        <v>275853</v>
      </c>
      <c r="K601" t="s">
        <v>569</v>
      </c>
      <c r="M601" s="3" t="str">
        <f>IF(I601="Billy Wilder", "Must Watch", IF(I601="John Ford", "Watch", "Maybe"))</f>
        <v>Maybe</v>
      </c>
    </row>
    <row r="602" spans="1:13" x14ac:dyDescent="0.25">
      <c r="A602">
        <v>601</v>
      </c>
      <c r="B602" t="s">
        <v>1729</v>
      </c>
      <c r="C602">
        <v>-2015</v>
      </c>
      <c r="D602">
        <v>15</v>
      </c>
      <c r="E602" t="s">
        <v>613</v>
      </c>
      <c r="F602" t="s">
        <v>1602</v>
      </c>
      <c r="G602">
        <v>7.8</v>
      </c>
      <c r="H602">
        <v>75</v>
      </c>
      <c r="I602" t="s">
        <v>1730</v>
      </c>
      <c r="J602" s="3">
        <v>40738</v>
      </c>
      <c r="K602" t="s">
        <v>1731</v>
      </c>
      <c r="M602" s="3" t="str">
        <f>IF(I602="Billy Wilder", "Must Watch", IF(I602="John Ford", "Watch", "Maybe"))</f>
        <v>Maybe</v>
      </c>
    </row>
    <row r="603" spans="1:13" x14ac:dyDescent="0.25">
      <c r="A603">
        <v>602</v>
      </c>
      <c r="B603" t="s">
        <v>1732</v>
      </c>
      <c r="C603">
        <v>-2016</v>
      </c>
      <c r="D603" t="s">
        <v>30</v>
      </c>
      <c r="E603" t="s">
        <v>104</v>
      </c>
      <c r="F603" t="s">
        <v>64</v>
      </c>
      <c r="G603">
        <v>7.8</v>
      </c>
      <c r="H603">
        <v>65</v>
      </c>
      <c r="I603" t="s">
        <v>1733</v>
      </c>
      <c r="J603" s="3">
        <v>612749</v>
      </c>
      <c r="K603" t="s">
        <v>1734</v>
      </c>
      <c r="M603" s="3" t="str">
        <f>IF(I603="Billy Wilder", "Must Watch", IF(I603="John Ford", "Watch", "Maybe"))</f>
        <v>Maybe</v>
      </c>
    </row>
    <row r="604" spans="1:13" x14ac:dyDescent="0.25">
      <c r="A604">
        <v>603</v>
      </c>
      <c r="B604" t="s">
        <v>1735</v>
      </c>
      <c r="C604">
        <v>-2016</v>
      </c>
      <c r="D604">
        <v>15</v>
      </c>
      <c r="E604" t="s">
        <v>143</v>
      </c>
      <c r="F604" t="s">
        <v>304</v>
      </c>
      <c r="G604">
        <v>7.8</v>
      </c>
      <c r="H604">
        <v>72</v>
      </c>
      <c r="I604" t="s">
        <v>1736</v>
      </c>
      <c r="J604" s="3">
        <v>215315</v>
      </c>
      <c r="K604" t="s">
        <v>1737</v>
      </c>
      <c r="M604" s="3" t="str">
        <f>IF(I604="Billy Wilder", "Must Watch", IF(I604="John Ford", "Watch", "Maybe"))</f>
        <v>Maybe</v>
      </c>
    </row>
    <row r="605" spans="1:13" x14ac:dyDescent="0.25">
      <c r="A605">
        <v>604</v>
      </c>
      <c r="B605" t="s">
        <v>1738</v>
      </c>
      <c r="C605">
        <v>-2016</v>
      </c>
      <c r="D605" t="s">
        <v>30</v>
      </c>
      <c r="E605" t="s">
        <v>228</v>
      </c>
      <c r="F605" t="s">
        <v>64</v>
      </c>
      <c r="G605">
        <v>7.8</v>
      </c>
      <c r="H605">
        <v>75</v>
      </c>
      <c r="I605" t="s">
        <v>284</v>
      </c>
      <c r="J605" s="3">
        <v>761110</v>
      </c>
      <c r="K605" t="s">
        <v>1739</v>
      </c>
      <c r="M605" s="3" t="str">
        <f>IF(I605="Billy Wilder", "Must Watch", IF(I605="John Ford", "Watch", "Maybe"))</f>
        <v>Maybe</v>
      </c>
    </row>
    <row r="606" spans="1:13" x14ac:dyDescent="0.25">
      <c r="A606">
        <v>605</v>
      </c>
      <c r="B606" t="s">
        <v>1740</v>
      </c>
      <c r="C606">
        <v>-2015</v>
      </c>
      <c r="D606">
        <v>18</v>
      </c>
      <c r="E606" t="s">
        <v>181</v>
      </c>
      <c r="F606" t="s">
        <v>56</v>
      </c>
      <c r="G606">
        <v>7.8</v>
      </c>
      <c r="H606">
        <v>68</v>
      </c>
      <c r="I606" t="s">
        <v>60</v>
      </c>
      <c r="J606" s="3">
        <v>582632</v>
      </c>
      <c r="K606" t="s">
        <v>1741</v>
      </c>
      <c r="M606" s="3" t="str">
        <f>IF(I606="Billy Wilder", "Must Watch", IF(I606="John Ford", "Watch", "Maybe"))</f>
        <v>Maybe</v>
      </c>
    </row>
    <row r="607" spans="1:13" x14ac:dyDescent="0.25">
      <c r="A607">
        <v>606</v>
      </c>
      <c r="B607" t="s">
        <v>1742</v>
      </c>
      <c r="C607">
        <v>-2019</v>
      </c>
      <c r="D607" t="s">
        <v>49</v>
      </c>
      <c r="E607" t="s">
        <v>309</v>
      </c>
      <c r="F607" t="s">
        <v>78</v>
      </c>
      <c r="G607">
        <v>7.8</v>
      </c>
      <c r="H607">
        <v>91</v>
      </c>
      <c r="I607" t="s">
        <v>1743</v>
      </c>
      <c r="J607" s="3">
        <v>193965</v>
      </c>
      <c r="K607" t="s">
        <v>1744</v>
      </c>
      <c r="M607" s="3" t="str">
        <f>IF(I607="Billy Wilder", "Must Watch", IF(I607="John Ford", "Watch", "Maybe"))</f>
        <v>Maybe</v>
      </c>
    </row>
    <row r="608" spans="1:13" x14ac:dyDescent="0.25">
      <c r="A608">
        <v>607</v>
      </c>
      <c r="B608" t="s">
        <v>1745</v>
      </c>
      <c r="C608">
        <v>-2017</v>
      </c>
      <c r="D608" t="s">
        <v>30</v>
      </c>
      <c r="E608" t="s">
        <v>1057</v>
      </c>
      <c r="F608" t="s">
        <v>1746</v>
      </c>
      <c r="G608">
        <v>7.8</v>
      </c>
      <c r="H608">
        <v>62</v>
      </c>
      <c r="I608" t="s">
        <v>1747</v>
      </c>
      <c r="J608" s="3">
        <v>57206</v>
      </c>
      <c r="K608" t="s">
        <v>1087</v>
      </c>
      <c r="M608" s="3" t="str">
        <f>IF(I608="Billy Wilder", "Must Watch", IF(I608="John Ford", "Watch", "Maybe"))</f>
        <v>Maybe</v>
      </c>
    </row>
    <row r="609" spans="1:13" x14ac:dyDescent="0.25">
      <c r="A609">
        <v>608</v>
      </c>
      <c r="B609" t="s">
        <v>1748</v>
      </c>
      <c r="C609" t="s">
        <v>1075</v>
      </c>
      <c r="D609">
        <v>15</v>
      </c>
      <c r="E609" t="s">
        <v>202</v>
      </c>
      <c r="F609" t="s">
        <v>177</v>
      </c>
      <c r="G609">
        <v>7.8</v>
      </c>
      <c r="H609">
        <v>79</v>
      </c>
      <c r="I609" t="s">
        <v>1749</v>
      </c>
      <c r="J609" s="3">
        <v>56349</v>
      </c>
      <c r="M609" s="3" t="str">
        <f>IF(I609="Billy Wilder", "Must Watch", IF(I609="John Ford", "Watch", "Maybe"))</f>
        <v>Maybe</v>
      </c>
    </row>
    <row r="610" spans="1:13" x14ac:dyDescent="0.25">
      <c r="A610">
        <v>609</v>
      </c>
      <c r="B610" t="s">
        <v>1750</v>
      </c>
      <c r="C610">
        <v>-2014</v>
      </c>
      <c r="D610">
        <v>15</v>
      </c>
      <c r="E610" t="s">
        <v>232</v>
      </c>
      <c r="F610" t="s">
        <v>144</v>
      </c>
      <c r="G610">
        <v>7.8</v>
      </c>
      <c r="H610">
        <v>76</v>
      </c>
      <c r="I610" t="s">
        <v>1751</v>
      </c>
      <c r="J610" s="3">
        <v>528721</v>
      </c>
      <c r="K610" t="s">
        <v>1752</v>
      </c>
      <c r="M610" s="3" t="str">
        <f>IF(I610="Billy Wilder", "Must Watch", IF(I610="John Ford", "Watch", "Maybe"))</f>
        <v>Maybe</v>
      </c>
    </row>
    <row r="611" spans="1:13" x14ac:dyDescent="0.25">
      <c r="A611">
        <v>610</v>
      </c>
      <c r="B611" t="s">
        <v>1753</v>
      </c>
      <c r="C611">
        <v>-2015</v>
      </c>
      <c r="D611" t="s">
        <v>30</v>
      </c>
      <c r="E611" t="s">
        <v>515</v>
      </c>
      <c r="F611" t="s">
        <v>64</v>
      </c>
      <c r="G611">
        <v>7.8</v>
      </c>
      <c r="H611">
        <v>80</v>
      </c>
      <c r="I611" t="s">
        <v>1474</v>
      </c>
      <c r="J611" s="3">
        <v>914538</v>
      </c>
      <c r="K611" t="s">
        <v>1754</v>
      </c>
      <c r="M611" s="3" t="str">
        <f>IF(I611="Billy Wilder", "Must Watch", IF(I611="John Ford", "Watch", "Maybe"))</f>
        <v>Maybe</v>
      </c>
    </row>
    <row r="612" spans="1:13" x14ac:dyDescent="0.25">
      <c r="A612">
        <v>611</v>
      </c>
      <c r="B612" t="s">
        <v>1755</v>
      </c>
      <c r="C612">
        <v>-2013</v>
      </c>
      <c r="D612" t="s">
        <v>74</v>
      </c>
      <c r="E612" t="s">
        <v>418</v>
      </c>
      <c r="F612" t="s">
        <v>78</v>
      </c>
      <c r="G612">
        <v>7.8</v>
      </c>
      <c r="H612">
        <v>76</v>
      </c>
      <c r="I612" t="s">
        <v>1756</v>
      </c>
      <c r="J612" s="3">
        <v>55646</v>
      </c>
      <c r="K612" t="s">
        <v>1757</v>
      </c>
      <c r="M612" s="3" t="str">
        <f>IF(I612="Billy Wilder", "Must Watch", IF(I612="John Ford", "Watch", "Maybe"))</f>
        <v>Maybe</v>
      </c>
    </row>
    <row r="613" spans="1:13" x14ac:dyDescent="0.25">
      <c r="A613">
        <v>612</v>
      </c>
      <c r="B613" t="s">
        <v>1758</v>
      </c>
      <c r="C613">
        <v>-2012</v>
      </c>
      <c r="D613" t="s">
        <v>30</v>
      </c>
      <c r="E613" t="s">
        <v>263</v>
      </c>
      <c r="F613" t="s">
        <v>414</v>
      </c>
      <c r="G613">
        <v>7.8</v>
      </c>
      <c r="I613" t="s">
        <v>185</v>
      </c>
      <c r="J613" s="3">
        <v>43014</v>
      </c>
      <c r="K613" t="s">
        <v>904</v>
      </c>
      <c r="M613" s="3" t="str">
        <f>IF(I613="Billy Wilder", "Must Watch", IF(I613="John Ford", "Watch", "Maybe"))</f>
        <v>Maybe</v>
      </c>
    </row>
    <row r="614" spans="1:13" x14ac:dyDescent="0.25">
      <c r="A614">
        <v>613</v>
      </c>
      <c r="B614" t="s">
        <v>1759</v>
      </c>
      <c r="C614">
        <v>-2014</v>
      </c>
      <c r="D614" t="s">
        <v>74</v>
      </c>
      <c r="E614" t="s">
        <v>249</v>
      </c>
      <c r="F614" t="s">
        <v>279</v>
      </c>
      <c r="G614">
        <v>7.8</v>
      </c>
      <c r="H614">
        <v>74</v>
      </c>
      <c r="I614" t="s">
        <v>1760</v>
      </c>
      <c r="J614" s="3">
        <v>451051</v>
      </c>
      <c r="K614" t="s">
        <v>1761</v>
      </c>
      <c r="M614" s="3" t="str">
        <f>IF(I614="Billy Wilder", "Must Watch", IF(I614="John Ford", "Watch", "Maybe"))</f>
        <v>Maybe</v>
      </c>
    </row>
    <row r="615" spans="1:13" x14ac:dyDescent="0.25">
      <c r="A615">
        <v>614</v>
      </c>
      <c r="B615" t="s">
        <v>1762</v>
      </c>
      <c r="C615" t="s">
        <v>790</v>
      </c>
      <c r="D615" t="s">
        <v>30</v>
      </c>
      <c r="E615" t="s">
        <v>384</v>
      </c>
      <c r="F615" t="s">
        <v>769</v>
      </c>
      <c r="G615">
        <v>7.8</v>
      </c>
      <c r="H615">
        <v>55</v>
      </c>
      <c r="I615" t="s">
        <v>1763</v>
      </c>
      <c r="J615" s="3">
        <v>340440</v>
      </c>
      <c r="K615" t="s">
        <v>1764</v>
      </c>
      <c r="M615" s="3" t="str">
        <f>IF(I615="Billy Wilder", "Must Watch", IF(I615="John Ford", "Watch", "Maybe"))</f>
        <v>Maybe</v>
      </c>
    </row>
    <row r="616" spans="1:13" x14ac:dyDescent="0.25">
      <c r="A616">
        <v>615</v>
      </c>
      <c r="B616" t="s">
        <v>1765</v>
      </c>
      <c r="C616">
        <v>-2012</v>
      </c>
      <c r="D616" t="s">
        <v>74</v>
      </c>
      <c r="E616" t="s">
        <v>331</v>
      </c>
      <c r="F616" t="s">
        <v>508</v>
      </c>
      <c r="G616">
        <v>7.8</v>
      </c>
      <c r="I616" t="s">
        <v>1766</v>
      </c>
      <c r="J616" s="3">
        <v>36153</v>
      </c>
      <c r="K616" t="s">
        <v>1767</v>
      </c>
      <c r="M616" s="3" t="str">
        <f>IF(I616="Billy Wilder", "Must Watch", IF(I616="John Ford", "Watch", "Maybe"))</f>
        <v>Maybe</v>
      </c>
    </row>
    <row r="617" spans="1:13" x14ac:dyDescent="0.25">
      <c r="A617">
        <v>616</v>
      </c>
      <c r="B617" t="s">
        <v>1768</v>
      </c>
      <c r="C617">
        <v>-2013</v>
      </c>
      <c r="D617">
        <v>15</v>
      </c>
      <c r="E617" t="s">
        <v>388</v>
      </c>
      <c r="F617" t="s">
        <v>56</v>
      </c>
      <c r="G617">
        <v>7.8</v>
      </c>
      <c r="H617">
        <v>49</v>
      </c>
      <c r="I617" t="s">
        <v>218</v>
      </c>
      <c r="J617" s="3">
        <v>117786</v>
      </c>
      <c r="K617" t="s">
        <v>1648</v>
      </c>
      <c r="M617" s="3" t="str">
        <f>IF(I617="Billy Wilder", "Must Watch", IF(I617="John Ford", "Watch", "Maybe"))</f>
        <v>Maybe</v>
      </c>
    </row>
    <row r="618" spans="1:13" x14ac:dyDescent="0.25">
      <c r="A618">
        <v>617</v>
      </c>
      <c r="B618" t="s">
        <v>1769</v>
      </c>
      <c r="C618">
        <v>-2014</v>
      </c>
      <c r="D618" t="s">
        <v>30</v>
      </c>
      <c r="E618" t="s">
        <v>89</v>
      </c>
      <c r="F618" t="s">
        <v>64</v>
      </c>
      <c r="G618">
        <v>7.8</v>
      </c>
      <c r="H618">
        <v>70</v>
      </c>
      <c r="I618" t="s">
        <v>284</v>
      </c>
      <c r="J618" s="3">
        <v>822702</v>
      </c>
      <c r="K618" t="s">
        <v>1770</v>
      </c>
      <c r="M618" s="3" t="str">
        <f>IF(I618="Billy Wilder", "Must Watch", IF(I618="John Ford", "Watch", "Maybe"))</f>
        <v>Maybe</v>
      </c>
    </row>
    <row r="619" spans="1:13" x14ac:dyDescent="0.25">
      <c r="A619">
        <v>618</v>
      </c>
      <c r="B619" t="s">
        <v>1771</v>
      </c>
      <c r="C619">
        <v>-2011</v>
      </c>
      <c r="D619">
        <v>15</v>
      </c>
      <c r="E619" t="s">
        <v>1772</v>
      </c>
      <c r="F619" t="s">
        <v>26</v>
      </c>
      <c r="G619">
        <v>7.8</v>
      </c>
      <c r="H619">
        <v>82</v>
      </c>
      <c r="I619" t="s">
        <v>1084</v>
      </c>
      <c r="J619" s="3">
        <v>46090</v>
      </c>
      <c r="K619" t="s">
        <v>764</v>
      </c>
      <c r="M619" s="3" t="str">
        <f>IF(I619="Billy Wilder", "Must Watch", IF(I619="John Ford", "Watch", "Maybe"))</f>
        <v>Maybe</v>
      </c>
    </row>
    <row r="620" spans="1:13" x14ac:dyDescent="0.25">
      <c r="A620">
        <v>619</v>
      </c>
      <c r="B620" t="s">
        <v>1773</v>
      </c>
      <c r="C620">
        <v>-2012</v>
      </c>
      <c r="D620" t="s">
        <v>30</v>
      </c>
      <c r="E620" t="s">
        <v>1057</v>
      </c>
      <c r="F620" t="s">
        <v>132</v>
      </c>
      <c r="G620">
        <v>7.8</v>
      </c>
      <c r="H620">
        <v>84</v>
      </c>
      <c r="I620" t="s">
        <v>774</v>
      </c>
      <c r="J620" s="3">
        <v>345489</v>
      </c>
      <c r="K620" t="s">
        <v>1774</v>
      </c>
      <c r="M620" s="3" t="str">
        <f>IF(I620="Billy Wilder", "Must Watch", IF(I620="John Ford", "Watch", "Maybe"))</f>
        <v>Maybe</v>
      </c>
    </row>
    <row r="621" spans="1:13" x14ac:dyDescent="0.25">
      <c r="A621">
        <v>620</v>
      </c>
      <c r="B621" t="s">
        <v>1775</v>
      </c>
      <c r="C621">
        <v>-2014</v>
      </c>
      <c r="D621" t="s">
        <v>74</v>
      </c>
      <c r="E621" t="s">
        <v>249</v>
      </c>
      <c r="F621" t="s">
        <v>279</v>
      </c>
      <c r="G621">
        <v>7.8</v>
      </c>
      <c r="H621">
        <v>77</v>
      </c>
      <c r="I621" t="s">
        <v>831</v>
      </c>
      <c r="J621" s="3">
        <v>329706</v>
      </c>
      <c r="K621" t="s">
        <v>1776</v>
      </c>
      <c r="M621" s="3" t="str">
        <f>IF(I621="Billy Wilder", "Must Watch", IF(I621="John Ford", "Watch", "Maybe"))</f>
        <v>Maybe</v>
      </c>
    </row>
    <row r="622" spans="1:13" x14ac:dyDescent="0.25">
      <c r="A622">
        <v>621</v>
      </c>
      <c r="B622" t="s">
        <v>1777</v>
      </c>
      <c r="C622">
        <v>-2015</v>
      </c>
      <c r="D622">
        <v>15</v>
      </c>
      <c r="E622" t="s">
        <v>108</v>
      </c>
      <c r="F622" t="s">
        <v>177</v>
      </c>
      <c r="G622">
        <v>7.8</v>
      </c>
      <c r="H622">
        <v>81</v>
      </c>
      <c r="I622" t="s">
        <v>1778</v>
      </c>
      <c r="J622" s="3">
        <v>419242</v>
      </c>
      <c r="K622" t="s">
        <v>1779</v>
      </c>
      <c r="M622" s="3" t="str">
        <f>IF(I622="Billy Wilder", "Must Watch", IF(I622="John Ford", "Watch", "Maybe"))</f>
        <v>Maybe</v>
      </c>
    </row>
    <row r="623" spans="1:13" x14ac:dyDescent="0.25">
      <c r="A623">
        <v>622</v>
      </c>
      <c r="B623" t="s">
        <v>1780</v>
      </c>
      <c r="C623">
        <v>-2010</v>
      </c>
      <c r="D623">
        <v>18</v>
      </c>
      <c r="E623" t="s">
        <v>1072</v>
      </c>
      <c r="F623" t="s">
        <v>32</v>
      </c>
      <c r="G623">
        <v>7.8</v>
      </c>
      <c r="H623">
        <v>67</v>
      </c>
      <c r="I623" t="s">
        <v>1781</v>
      </c>
      <c r="J623" s="3">
        <v>127225</v>
      </c>
      <c r="K623" t="s">
        <v>1782</v>
      </c>
      <c r="M623" s="3" t="str">
        <f>IF(I623="Billy Wilder", "Must Watch", IF(I623="John Ford", "Watch", "Maybe"))</f>
        <v>Maybe</v>
      </c>
    </row>
    <row r="624" spans="1:13" x14ac:dyDescent="0.25">
      <c r="A624">
        <v>623</v>
      </c>
      <c r="B624" t="s">
        <v>1783</v>
      </c>
      <c r="C624">
        <v>-2011</v>
      </c>
      <c r="D624">
        <v>18</v>
      </c>
      <c r="E624" t="s">
        <v>272</v>
      </c>
      <c r="F624" t="s">
        <v>56</v>
      </c>
      <c r="G624">
        <v>7.8</v>
      </c>
      <c r="H624">
        <v>71</v>
      </c>
      <c r="I624" t="s">
        <v>71</v>
      </c>
      <c r="J624" s="3">
        <v>457445</v>
      </c>
      <c r="K624" t="s">
        <v>1784</v>
      </c>
      <c r="M624" s="3" t="str">
        <f>IF(I624="Billy Wilder", "Must Watch", IF(I624="John Ford", "Watch", "Maybe"))</f>
        <v>Maybe</v>
      </c>
    </row>
    <row r="625" spans="1:13" x14ac:dyDescent="0.25">
      <c r="A625">
        <v>624</v>
      </c>
      <c r="B625" t="s">
        <v>1785</v>
      </c>
      <c r="C625">
        <v>-2013</v>
      </c>
      <c r="D625" t="s">
        <v>30</v>
      </c>
      <c r="E625" t="s">
        <v>331</v>
      </c>
      <c r="F625" t="s">
        <v>553</v>
      </c>
      <c r="G625">
        <v>7.8</v>
      </c>
      <c r="H625">
        <v>82</v>
      </c>
      <c r="I625" t="s">
        <v>1154</v>
      </c>
      <c r="J625" s="3">
        <v>453184</v>
      </c>
      <c r="K625" t="s">
        <v>1786</v>
      </c>
      <c r="M625" s="3" t="str">
        <f>IF(I625="Billy Wilder", "Must Watch", IF(I625="John Ford", "Watch", "Maybe"))</f>
        <v>Maybe</v>
      </c>
    </row>
    <row r="626" spans="1:13" x14ac:dyDescent="0.25">
      <c r="A626">
        <v>625</v>
      </c>
      <c r="B626" t="s">
        <v>1787</v>
      </c>
      <c r="C626">
        <v>-2015</v>
      </c>
      <c r="D626">
        <v>15</v>
      </c>
      <c r="E626" t="s">
        <v>228</v>
      </c>
      <c r="F626" t="s">
        <v>42</v>
      </c>
      <c r="G626">
        <v>7.8</v>
      </c>
      <c r="H626">
        <v>72</v>
      </c>
      <c r="I626" t="s">
        <v>1788</v>
      </c>
      <c r="J626" s="3">
        <v>198578</v>
      </c>
      <c r="K626" t="s">
        <v>1789</v>
      </c>
      <c r="M626" s="3" t="str">
        <f>IF(I626="Billy Wilder", "Must Watch", IF(I626="John Ford", "Watch", "Maybe"))</f>
        <v>Maybe</v>
      </c>
    </row>
    <row r="627" spans="1:13" x14ac:dyDescent="0.25">
      <c r="A627">
        <v>626</v>
      </c>
      <c r="B627" t="s">
        <v>1790</v>
      </c>
      <c r="C627">
        <v>-2019</v>
      </c>
      <c r="D627">
        <v>15</v>
      </c>
      <c r="E627" t="s">
        <v>1791</v>
      </c>
      <c r="F627" t="s">
        <v>95</v>
      </c>
      <c r="G627">
        <v>7.8</v>
      </c>
      <c r="H627">
        <v>94</v>
      </c>
      <c r="I627" t="s">
        <v>96</v>
      </c>
      <c r="J627" s="3">
        <v>375306</v>
      </c>
      <c r="K627" t="s">
        <v>1792</v>
      </c>
      <c r="M627" s="3" t="str">
        <f>IF(I627="Billy Wilder", "Must Watch", IF(I627="John Ford", "Watch", "Maybe"))</f>
        <v>Maybe</v>
      </c>
    </row>
    <row r="628" spans="1:13" x14ac:dyDescent="0.25">
      <c r="A628">
        <v>627</v>
      </c>
      <c r="B628" t="s">
        <v>1793</v>
      </c>
      <c r="C628">
        <v>-2010</v>
      </c>
      <c r="D628" t="s">
        <v>30</v>
      </c>
      <c r="E628" t="s">
        <v>811</v>
      </c>
      <c r="F628" t="s">
        <v>606</v>
      </c>
      <c r="G628">
        <v>7.8</v>
      </c>
      <c r="H628">
        <v>95</v>
      </c>
      <c r="I628" t="s">
        <v>71</v>
      </c>
      <c r="J628" s="3">
        <v>687311</v>
      </c>
      <c r="K628" t="s">
        <v>1794</v>
      </c>
      <c r="M628" s="3" t="str">
        <f>IF(I628="Billy Wilder", "Must Watch", IF(I628="John Ford", "Watch", "Maybe"))</f>
        <v>Maybe</v>
      </c>
    </row>
    <row r="629" spans="1:13" x14ac:dyDescent="0.25">
      <c r="A629">
        <v>628</v>
      </c>
      <c r="B629" t="s">
        <v>1795</v>
      </c>
      <c r="C629">
        <v>-2009</v>
      </c>
      <c r="D629">
        <v>18</v>
      </c>
      <c r="E629" t="s">
        <v>198</v>
      </c>
      <c r="F629" t="s">
        <v>26</v>
      </c>
      <c r="G629">
        <v>7.8</v>
      </c>
      <c r="H629">
        <v>90</v>
      </c>
      <c r="I629" t="s">
        <v>1796</v>
      </c>
      <c r="J629" s="3">
        <v>98142</v>
      </c>
      <c r="K629" t="s">
        <v>1045</v>
      </c>
      <c r="M629" s="3" t="str">
        <f>IF(I629="Billy Wilder", "Must Watch", IF(I629="John Ford", "Watch", "Maybe"))</f>
        <v>Maybe</v>
      </c>
    </row>
    <row r="630" spans="1:13" x14ac:dyDescent="0.25">
      <c r="A630">
        <v>629</v>
      </c>
      <c r="B630" t="s">
        <v>1797</v>
      </c>
      <c r="C630">
        <v>-2009</v>
      </c>
      <c r="D630">
        <v>15</v>
      </c>
      <c r="E630" t="s">
        <v>452</v>
      </c>
      <c r="F630" t="s">
        <v>56</v>
      </c>
      <c r="G630">
        <v>7.8</v>
      </c>
      <c r="H630">
        <v>79</v>
      </c>
      <c r="I630" t="s">
        <v>168</v>
      </c>
      <c r="J630" s="3">
        <v>62708</v>
      </c>
      <c r="K630" t="s">
        <v>1263</v>
      </c>
      <c r="M630" s="3" t="str">
        <f>IF(I630="Billy Wilder", "Must Watch", IF(I630="John Ford", "Watch", "Maybe"))</f>
        <v>Maybe</v>
      </c>
    </row>
    <row r="631" spans="1:13" x14ac:dyDescent="0.25">
      <c r="A631">
        <v>630</v>
      </c>
      <c r="B631" t="s">
        <v>1798</v>
      </c>
      <c r="C631">
        <v>-2008</v>
      </c>
      <c r="D631">
        <v>18</v>
      </c>
      <c r="E631" t="s">
        <v>119</v>
      </c>
      <c r="F631" t="s">
        <v>32</v>
      </c>
      <c r="G631">
        <v>7.8</v>
      </c>
      <c r="H631">
        <v>64</v>
      </c>
      <c r="I631" t="s">
        <v>1799</v>
      </c>
      <c r="J631" s="3">
        <v>65380</v>
      </c>
      <c r="M631" s="3" t="str">
        <f>IF(I631="Billy Wilder", "Must Watch", IF(I631="John Ford", "Watch", "Maybe"))</f>
        <v>Maybe</v>
      </c>
    </row>
    <row r="632" spans="1:13" x14ac:dyDescent="0.25">
      <c r="A632">
        <v>631</v>
      </c>
      <c r="B632" t="s">
        <v>1800</v>
      </c>
      <c r="C632">
        <v>-2009</v>
      </c>
      <c r="D632">
        <v>15</v>
      </c>
      <c r="E632" t="s">
        <v>576</v>
      </c>
      <c r="F632" t="s">
        <v>187</v>
      </c>
      <c r="G632">
        <v>7.8</v>
      </c>
      <c r="H632">
        <v>67</v>
      </c>
      <c r="I632" t="s">
        <v>1801</v>
      </c>
      <c r="J632" s="3">
        <v>355378</v>
      </c>
      <c r="K632" t="s">
        <v>699</v>
      </c>
      <c r="M632" s="3" t="str">
        <f>IF(I632="Billy Wilder", "Must Watch", IF(I632="John Ford", "Watch", "Maybe"))</f>
        <v>Maybe</v>
      </c>
    </row>
    <row r="633" spans="1:13" x14ac:dyDescent="0.25">
      <c r="A633">
        <v>632</v>
      </c>
      <c r="B633" t="s">
        <v>1802</v>
      </c>
      <c r="C633">
        <v>-2013</v>
      </c>
      <c r="D633" t="s">
        <v>30</v>
      </c>
      <c r="E633" t="s">
        <v>376</v>
      </c>
      <c r="F633" t="s">
        <v>1803</v>
      </c>
      <c r="G633">
        <v>7.8</v>
      </c>
      <c r="H633">
        <v>66</v>
      </c>
      <c r="I633" t="s">
        <v>38</v>
      </c>
      <c r="J633" s="3">
        <v>646085</v>
      </c>
      <c r="K633" t="s">
        <v>1804</v>
      </c>
      <c r="M633" s="3" t="str">
        <f>IF(I633="Billy Wilder", "Must Watch", IF(I633="John Ford", "Watch", "Maybe"))</f>
        <v>Maybe</v>
      </c>
    </row>
    <row r="634" spans="1:13" x14ac:dyDescent="0.25">
      <c r="A634">
        <v>633</v>
      </c>
      <c r="B634" t="s">
        <v>1805</v>
      </c>
      <c r="C634">
        <v>-2009</v>
      </c>
      <c r="D634">
        <v>15</v>
      </c>
      <c r="E634" t="s">
        <v>1072</v>
      </c>
      <c r="F634" t="s">
        <v>317</v>
      </c>
      <c r="G634">
        <v>7.8</v>
      </c>
      <c r="H634">
        <v>82</v>
      </c>
      <c r="I634" t="s">
        <v>1445</v>
      </c>
      <c r="J634" s="3">
        <v>73211</v>
      </c>
      <c r="K634" t="s">
        <v>1145</v>
      </c>
      <c r="M634" s="3" t="str">
        <f>IF(I634="Billy Wilder", "Must Watch", IF(I634="John Ford", "Watch", "Maybe"))</f>
        <v>Maybe</v>
      </c>
    </row>
    <row r="635" spans="1:13" x14ac:dyDescent="0.25">
      <c r="A635">
        <v>634</v>
      </c>
      <c r="B635" t="s">
        <v>1783</v>
      </c>
      <c r="C635">
        <v>-2009</v>
      </c>
      <c r="D635">
        <v>18</v>
      </c>
      <c r="E635" t="s">
        <v>31</v>
      </c>
      <c r="F635" t="s">
        <v>56</v>
      </c>
      <c r="G635">
        <v>7.8</v>
      </c>
      <c r="H635">
        <v>76</v>
      </c>
      <c r="I635" t="s">
        <v>1806</v>
      </c>
      <c r="J635" s="3">
        <v>216016</v>
      </c>
      <c r="K635" t="s">
        <v>1807</v>
      </c>
      <c r="M635" s="3" t="str">
        <f>IF(I635="Billy Wilder", "Must Watch", IF(I635="John Ford", "Watch", "Maybe"))</f>
        <v>Maybe</v>
      </c>
    </row>
    <row r="636" spans="1:13" x14ac:dyDescent="0.25">
      <c r="A636">
        <v>635</v>
      </c>
      <c r="B636" t="s">
        <v>1808</v>
      </c>
      <c r="C636">
        <v>-2012</v>
      </c>
      <c r="D636" t="s">
        <v>30</v>
      </c>
      <c r="E636" t="s">
        <v>354</v>
      </c>
      <c r="F636" t="s">
        <v>1171</v>
      </c>
      <c r="G636">
        <v>7.8</v>
      </c>
      <c r="H636">
        <v>81</v>
      </c>
      <c r="I636" t="s">
        <v>328</v>
      </c>
      <c r="J636" s="3">
        <v>688051</v>
      </c>
      <c r="K636" t="s">
        <v>1809</v>
      </c>
      <c r="M636" s="3" t="str">
        <f>IF(I636="Billy Wilder", "Must Watch", IF(I636="John Ford", "Watch", "Maybe"))</f>
        <v>Maybe</v>
      </c>
    </row>
    <row r="637" spans="1:13" x14ac:dyDescent="0.25">
      <c r="A637">
        <v>636</v>
      </c>
      <c r="B637" t="s">
        <v>1810</v>
      </c>
      <c r="C637" t="s">
        <v>1811</v>
      </c>
      <c r="D637">
        <v>15</v>
      </c>
      <c r="E637" t="s">
        <v>131</v>
      </c>
      <c r="F637" t="s">
        <v>310</v>
      </c>
      <c r="G637">
        <v>7.8</v>
      </c>
      <c r="H637">
        <v>79</v>
      </c>
      <c r="I637" t="s">
        <v>1812</v>
      </c>
      <c r="J637" s="3">
        <v>362066</v>
      </c>
      <c r="K637" t="s">
        <v>1813</v>
      </c>
      <c r="M637" s="3" t="str">
        <f>IF(I637="Billy Wilder", "Must Watch", IF(I637="John Ford", "Watch", "Maybe"))</f>
        <v>Maybe</v>
      </c>
    </row>
    <row r="638" spans="1:13" x14ac:dyDescent="0.25">
      <c r="A638">
        <v>637</v>
      </c>
      <c r="B638" t="s">
        <v>1814</v>
      </c>
      <c r="C638" t="s">
        <v>1815</v>
      </c>
      <c r="D638">
        <v>18</v>
      </c>
      <c r="E638" t="s">
        <v>1244</v>
      </c>
      <c r="F638" t="s">
        <v>1175</v>
      </c>
      <c r="G638">
        <v>7.8</v>
      </c>
      <c r="H638">
        <v>51</v>
      </c>
      <c r="I638" t="s">
        <v>1816</v>
      </c>
      <c r="J638" s="3">
        <v>596042</v>
      </c>
      <c r="K638" t="s">
        <v>1817</v>
      </c>
      <c r="M638" s="3" t="str">
        <f>IF(I638="Billy Wilder", "Must Watch", IF(I638="John Ford", "Watch", "Maybe"))</f>
        <v>Maybe</v>
      </c>
    </row>
    <row r="639" spans="1:13" x14ac:dyDescent="0.25">
      <c r="A639">
        <v>638</v>
      </c>
      <c r="B639" t="s">
        <v>1818</v>
      </c>
      <c r="C639" t="s">
        <v>1819</v>
      </c>
      <c r="D639">
        <v>15</v>
      </c>
      <c r="E639" t="s">
        <v>890</v>
      </c>
      <c r="F639" t="s">
        <v>921</v>
      </c>
      <c r="G639">
        <v>7.8</v>
      </c>
      <c r="H639">
        <v>88</v>
      </c>
      <c r="I639" t="s">
        <v>1407</v>
      </c>
      <c r="J639" s="3">
        <v>116043</v>
      </c>
      <c r="K639" t="s">
        <v>1820</v>
      </c>
      <c r="M639" s="3" t="str">
        <f>IF(I639="Billy Wilder", "Must Watch", IF(I639="John Ford", "Watch", "Maybe"))</f>
        <v>Maybe</v>
      </c>
    </row>
    <row r="640" spans="1:13" x14ac:dyDescent="0.25">
      <c r="A640">
        <v>639</v>
      </c>
      <c r="B640" t="s">
        <v>1821</v>
      </c>
      <c r="C640">
        <v>-2012</v>
      </c>
      <c r="D640" t="s">
        <v>30</v>
      </c>
      <c r="E640" t="s">
        <v>112</v>
      </c>
      <c r="F640" t="s">
        <v>1803</v>
      </c>
      <c r="G640">
        <v>7.8</v>
      </c>
      <c r="H640">
        <v>58</v>
      </c>
      <c r="I640" t="s">
        <v>38</v>
      </c>
      <c r="J640" s="3">
        <v>806994</v>
      </c>
      <c r="K640" t="s">
        <v>1822</v>
      </c>
      <c r="M640" s="3" t="str">
        <f>IF(I640="Billy Wilder", "Must Watch", IF(I640="John Ford", "Watch", "Maybe"))</f>
        <v>Maybe</v>
      </c>
    </row>
    <row r="641" spans="1:13" x14ac:dyDescent="0.25">
      <c r="A641">
        <v>640</v>
      </c>
      <c r="B641" t="s">
        <v>1823</v>
      </c>
      <c r="C641">
        <v>-2008</v>
      </c>
      <c r="D641">
        <v>15</v>
      </c>
      <c r="E641" t="s">
        <v>163</v>
      </c>
      <c r="F641" t="s">
        <v>95</v>
      </c>
      <c r="G641">
        <v>7.8</v>
      </c>
      <c r="H641">
        <v>63</v>
      </c>
      <c r="I641" t="s">
        <v>635</v>
      </c>
      <c r="J641" s="3">
        <v>253575</v>
      </c>
      <c r="K641" t="s">
        <v>1824</v>
      </c>
      <c r="M641" s="3" t="str">
        <f>IF(I641="Billy Wilder", "Must Watch", IF(I641="John Ford", "Watch", "Maybe"))</f>
        <v>Maybe</v>
      </c>
    </row>
    <row r="642" spans="1:13" x14ac:dyDescent="0.25">
      <c r="A642">
        <v>641</v>
      </c>
      <c r="B642" t="s">
        <v>1825</v>
      </c>
      <c r="C642">
        <v>-2007</v>
      </c>
      <c r="D642">
        <v>15</v>
      </c>
      <c r="E642" t="s">
        <v>384</v>
      </c>
      <c r="F642" t="s">
        <v>557</v>
      </c>
      <c r="G642">
        <v>7.8</v>
      </c>
      <c r="H642">
        <v>85</v>
      </c>
      <c r="I642" t="s">
        <v>1826</v>
      </c>
      <c r="J642" s="3">
        <v>273923</v>
      </c>
      <c r="K642" t="s">
        <v>1827</v>
      </c>
      <c r="M642" s="3" t="str">
        <f>IF(I642="Billy Wilder", "Must Watch", IF(I642="John Ford", "Watch", "Maybe"))</f>
        <v>Maybe</v>
      </c>
    </row>
    <row r="643" spans="1:13" x14ac:dyDescent="0.25">
      <c r="A643">
        <v>642</v>
      </c>
      <c r="B643" t="s">
        <v>1828</v>
      </c>
      <c r="C643" t="s">
        <v>1438</v>
      </c>
      <c r="D643">
        <v>18</v>
      </c>
      <c r="E643" t="s">
        <v>613</v>
      </c>
      <c r="F643" t="s">
        <v>109</v>
      </c>
      <c r="G643">
        <v>7.8</v>
      </c>
      <c r="H643">
        <v>78</v>
      </c>
      <c r="I643" t="s">
        <v>1829</v>
      </c>
      <c r="J643" s="3">
        <v>622489</v>
      </c>
      <c r="K643" t="s">
        <v>1830</v>
      </c>
      <c r="M643" s="3" t="str">
        <f>IF(I643="Billy Wilder", "Must Watch", IF(I643="John Ford", "Watch", "Maybe"))</f>
        <v>Maybe</v>
      </c>
    </row>
    <row r="644" spans="1:13" x14ac:dyDescent="0.25">
      <c r="A644">
        <v>643</v>
      </c>
      <c r="B644" t="s">
        <v>1831</v>
      </c>
      <c r="C644">
        <v>-2007</v>
      </c>
      <c r="D644">
        <v>18</v>
      </c>
      <c r="E644" t="s">
        <v>1772</v>
      </c>
      <c r="F644" t="s">
        <v>95</v>
      </c>
      <c r="G644">
        <v>7.8</v>
      </c>
      <c r="H644">
        <v>76</v>
      </c>
      <c r="I644" t="s">
        <v>199</v>
      </c>
      <c r="J644" s="3">
        <v>421127</v>
      </c>
      <c r="K644" t="s">
        <v>1832</v>
      </c>
      <c r="M644" s="3" t="str">
        <f>IF(I644="Billy Wilder", "Must Watch", IF(I644="John Ford", "Watch", "Maybe"))</f>
        <v>Maybe</v>
      </c>
    </row>
    <row r="645" spans="1:13" x14ac:dyDescent="0.25">
      <c r="A645">
        <v>644</v>
      </c>
      <c r="B645" t="s">
        <v>1833</v>
      </c>
      <c r="C645">
        <v>-2009</v>
      </c>
      <c r="D645" t="s">
        <v>30</v>
      </c>
      <c r="E645" t="s">
        <v>644</v>
      </c>
      <c r="F645" t="s">
        <v>100</v>
      </c>
      <c r="G645">
        <v>7.8</v>
      </c>
      <c r="H645">
        <v>83</v>
      </c>
      <c r="I645" t="s">
        <v>140</v>
      </c>
      <c r="J645" s="3">
        <v>1208816</v>
      </c>
      <c r="K645" t="s">
        <v>1834</v>
      </c>
      <c r="M645" s="3" t="str">
        <f>IF(I645="Billy Wilder", "Must Watch", IF(I645="John Ford", "Watch", "Maybe"))</f>
        <v>Maybe</v>
      </c>
    </row>
    <row r="646" spans="1:13" x14ac:dyDescent="0.25">
      <c r="A646">
        <v>645</v>
      </c>
      <c r="B646" t="s">
        <v>1835</v>
      </c>
      <c r="C646">
        <v>-2009</v>
      </c>
      <c r="D646">
        <v>15</v>
      </c>
      <c r="E646" t="s">
        <v>163</v>
      </c>
      <c r="F646" t="s">
        <v>1267</v>
      </c>
      <c r="G646">
        <v>7.8</v>
      </c>
      <c r="H646">
        <v>63</v>
      </c>
      <c r="I646" t="s">
        <v>1836</v>
      </c>
      <c r="J646" s="3">
        <v>231013</v>
      </c>
      <c r="K646" t="s">
        <v>1549</v>
      </c>
      <c r="M646" s="3" t="str">
        <f>IF(I646="Billy Wilder", "Must Watch", IF(I646="John Ford", "Watch", "Maybe"))</f>
        <v>Maybe</v>
      </c>
    </row>
    <row r="647" spans="1:13" x14ac:dyDescent="0.25">
      <c r="A647">
        <v>646</v>
      </c>
      <c r="B647" t="s">
        <v>1837</v>
      </c>
      <c r="C647">
        <v>-2006</v>
      </c>
      <c r="D647">
        <v>18</v>
      </c>
      <c r="E647" t="s">
        <v>70</v>
      </c>
      <c r="F647" t="s">
        <v>37</v>
      </c>
      <c r="G647">
        <v>7.8</v>
      </c>
      <c r="H647">
        <v>68</v>
      </c>
      <c r="I647" t="s">
        <v>335</v>
      </c>
      <c r="J647" s="3">
        <v>309343</v>
      </c>
      <c r="K647" t="s">
        <v>1838</v>
      </c>
      <c r="M647" s="3" t="str">
        <f>IF(I647="Billy Wilder", "Must Watch", IF(I647="John Ford", "Watch", "Maybe"))</f>
        <v>Maybe</v>
      </c>
    </row>
    <row r="648" spans="1:13" x14ac:dyDescent="0.25">
      <c r="A648">
        <v>647</v>
      </c>
      <c r="B648" t="s">
        <v>1839</v>
      </c>
      <c r="C648">
        <v>-2006</v>
      </c>
      <c r="D648" t="s">
        <v>1166</v>
      </c>
      <c r="E648" t="s">
        <v>232</v>
      </c>
      <c r="F648" t="s">
        <v>1189</v>
      </c>
      <c r="G648">
        <v>7.8</v>
      </c>
      <c r="H648">
        <v>64</v>
      </c>
      <c r="I648" t="s">
        <v>1840</v>
      </c>
      <c r="J648" s="3">
        <v>111777</v>
      </c>
      <c r="K648" t="s">
        <v>1841</v>
      </c>
      <c r="M648" s="3" t="str">
        <f>IF(I648="Billy Wilder", "Must Watch", IF(I648="John Ford", "Watch", "Maybe"))</f>
        <v>Maybe</v>
      </c>
    </row>
    <row r="649" spans="1:13" x14ac:dyDescent="0.25">
      <c r="A649">
        <v>648</v>
      </c>
      <c r="B649" t="s">
        <v>1842</v>
      </c>
      <c r="C649">
        <v>-2006</v>
      </c>
      <c r="D649">
        <v>15</v>
      </c>
      <c r="E649" t="s">
        <v>321</v>
      </c>
      <c r="F649" t="s">
        <v>304</v>
      </c>
      <c r="G649">
        <v>7.8</v>
      </c>
      <c r="H649">
        <v>80</v>
      </c>
      <c r="I649" t="s">
        <v>1843</v>
      </c>
      <c r="J649" s="3">
        <v>472682</v>
      </c>
      <c r="K649" t="s">
        <v>1844</v>
      </c>
      <c r="M649" s="3" t="str">
        <f>IF(I649="Billy Wilder", "Must Watch", IF(I649="John Ford", "Watch", "Maybe"))</f>
        <v>Maybe</v>
      </c>
    </row>
    <row r="650" spans="1:13" x14ac:dyDescent="0.25">
      <c r="A650">
        <v>649</v>
      </c>
      <c r="B650" t="s">
        <v>1845</v>
      </c>
      <c r="C650">
        <v>-2007</v>
      </c>
      <c r="D650">
        <v>15</v>
      </c>
      <c r="E650" t="s">
        <v>148</v>
      </c>
      <c r="F650" t="s">
        <v>1846</v>
      </c>
      <c r="G650">
        <v>7.8</v>
      </c>
      <c r="H650">
        <v>81</v>
      </c>
      <c r="I650" t="s">
        <v>1501</v>
      </c>
      <c r="J650" s="3">
        <v>498316</v>
      </c>
      <c r="K650" t="s">
        <v>1847</v>
      </c>
      <c r="M650" s="3" t="str">
        <f>IF(I650="Billy Wilder", "Must Watch", IF(I650="John Ford", "Watch", "Maybe"))</f>
        <v>Maybe</v>
      </c>
    </row>
    <row r="651" spans="1:13" x14ac:dyDescent="0.25">
      <c r="A651">
        <v>650</v>
      </c>
      <c r="B651" t="s">
        <v>1848</v>
      </c>
      <c r="C651">
        <v>-2008</v>
      </c>
      <c r="D651" t="s">
        <v>30</v>
      </c>
      <c r="E651" t="s">
        <v>1849</v>
      </c>
      <c r="F651" t="s">
        <v>1267</v>
      </c>
      <c r="G651">
        <v>7.8</v>
      </c>
      <c r="H651">
        <v>70</v>
      </c>
      <c r="I651" t="s">
        <v>71</v>
      </c>
      <c r="J651" s="3">
        <v>638726</v>
      </c>
      <c r="K651" t="s">
        <v>1850</v>
      </c>
      <c r="M651" s="3" t="str">
        <f>IF(I651="Billy Wilder", "Must Watch", IF(I651="John Ford", "Watch", "Maybe"))</f>
        <v>Maybe</v>
      </c>
    </row>
    <row r="652" spans="1:13" x14ac:dyDescent="0.25">
      <c r="A652">
        <v>651</v>
      </c>
      <c r="B652" t="s">
        <v>1851</v>
      </c>
      <c r="C652">
        <v>-2004</v>
      </c>
      <c r="D652" t="s">
        <v>49</v>
      </c>
      <c r="E652" t="s">
        <v>1852</v>
      </c>
      <c r="F652" t="s">
        <v>1314</v>
      </c>
      <c r="G652">
        <v>7.8</v>
      </c>
      <c r="H652">
        <v>67</v>
      </c>
      <c r="I652" t="s">
        <v>1853</v>
      </c>
      <c r="J652" s="3">
        <v>52473</v>
      </c>
      <c r="K652" t="s">
        <v>1854</v>
      </c>
      <c r="M652" s="3" t="str">
        <f>IF(I652="Billy Wilder", "Must Watch", IF(I652="John Ford", "Watch", "Maybe"))</f>
        <v>Maybe</v>
      </c>
    </row>
    <row r="653" spans="1:13" x14ac:dyDescent="0.25">
      <c r="A653">
        <v>652</v>
      </c>
      <c r="B653" t="s">
        <v>1855</v>
      </c>
      <c r="C653">
        <v>-2005</v>
      </c>
      <c r="D653" t="s">
        <v>49</v>
      </c>
      <c r="E653" t="s">
        <v>452</v>
      </c>
      <c r="F653" t="s">
        <v>78</v>
      </c>
      <c r="G653">
        <v>7.8</v>
      </c>
      <c r="H653">
        <v>82</v>
      </c>
      <c r="I653" t="s">
        <v>1826</v>
      </c>
      <c r="J653" s="3">
        <v>289578</v>
      </c>
      <c r="K653" t="s">
        <v>1856</v>
      </c>
      <c r="M653" s="3" t="str">
        <f>IF(I653="Billy Wilder", "Must Watch", IF(I653="John Ford", "Watch", "Maybe"))</f>
        <v>Maybe</v>
      </c>
    </row>
    <row r="654" spans="1:13" x14ac:dyDescent="0.25">
      <c r="A654">
        <v>653</v>
      </c>
      <c r="B654" t="s">
        <v>1857</v>
      </c>
      <c r="C654">
        <v>-2005</v>
      </c>
      <c r="D654" t="s">
        <v>30</v>
      </c>
      <c r="E654" t="s">
        <v>136</v>
      </c>
      <c r="F654" t="s">
        <v>542</v>
      </c>
      <c r="G654">
        <v>7.8</v>
      </c>
      <c r="H654">
        <v>68</v>
      </c>
      <c r="I654" t="s">
        <v>1858</v>
      </c>
      <c r="J654" s="3">
        <v>54781</v>
      </c>
      <c r="K654" t="s">
        <v>1859</v>
      </c>
      <c r="M654" s="3" t="str">
        <f>IF(I654="Billy Wilder", "Must Watch", IF(I654="John Ford", "Watch", "Maybe"))</f>
        <v>Maybe</v>
      </c>
    </row>
    <row r="655" spans="1:13" x14ac:dyDescent="0.25">
      <c r="A655">
        <v>654</v>
      </c>
      <c r="B655" t="s">
        <v>1860</v>
      </c>
      <c r="C655">
        <v>-2003</v>
      </c>
      <c r="D655">
        <v>12</v>
      </c>
      <c r="E655" t="s">
        <v>213</v>
      </c>
      <c r="F655" t="s">
        <v>292</v>
      </c>
      <c r="G655">
        <v>7.8</v>
      </c>
      <c r="H655">
        <v>73</v>
      </c>
      <c r="I655" t="s">
        <v>1212</v>
      </c>
      <c r="J655" s="3">
        <v>39313</v>
      </c>
      <c r="K655" t="s">
        <v>1782</v>
      </c>
      <c r="M655" s="3" t="str">
        <f>IF(I655="Billy Wilder", "Must Watch", IF(I655="John Ford", "Watch", "Maybe"))</f>
        <v>Maybe</v>
      </c>
    </row>
    <row r="656" spans="1:13" x14ac:dyDescent="0.25">
      <c r="A656">
        <v>655</v>
      </c>
      <c r="B656" t="s">
        <v>1861</v>
      </c>
      <c r="C656">
        <v>-2005</v>
      </c>
      <c r="D656">
        <v>15</v>
      </c>
      <c r="E656" t="s">
        <v>202</v>
      </c>
      <c r="F656" t="s">
        <v>64</v>
      </c>
      <c r="G656">
        <v>7.8</v>
      </c>
      <c r="H656">
        <v>74</v>
      </c>
      <c r="I656" t="s">
        <v>1138</v>
      </c>
      <c r="J656" s="3">
        <v>294496</v>
      </c>
      <c r="K656" t="s">
        <v>1862</v>
      </c>
      <c r="M656" s="3" t="str">
        <f>IF(I656="Billy Wilder", "Must Watch", IF(I656="John Ford", "Watch", "Maybe"))</f>
        <v>Maybe</v>
      </c>
    </row>
    <row r="657" spans="1:13" x14ac:dyDescent="0.25">
      <c r="A657">
        <v>656</v>
      </c>
      <c r="B657" t="s">
        <v>1863</v>
      </c>
      <c r="C657" t="s">
        <v>1180</v>
      </c>
      <c r="D657">
        <v>15</v>
      </c>
      <c r="E657" t="s">
        <v>176</v>
      </c>
      <c r="F657" t="s">
        <v>144</v>
      </c>
      <c r="G657">
        <v>7.8</v>
      </c>
      <c r="H657">
        <v>66</v>
      </c>
      <c r="I657" t="s">
        <v>1864</v>
      </c>
      <c r="J657" s="3">
        <v>434282</v>
      </c>
      <c r="K657" t="s">
        <v>1865</v>
      </c>
      <c r="M657" s="3" t="str">
        <f>IF(I657="Billy Wilder", "Must Watch", IF(I657="John Ford", "Watch", "Maybe"))</f>
        <v>Maybe</v>
      </c>
    </row>
    <row r="658" spans="1:13" x14ac:dyDescent="0.25">
      <c r="A658">
        <v>657</v>
      </c>
      <c r="B658" t="s">
        <v>1866</v>
      </c>
      <c r="C658">
        <v>-2004</v>
      </c>
      <c r="D658" t="s">
        <v>30</v>
      </c>
      <c r="E658" t="s">
        <v>576</v>
      </c>
      <c r="F658" t="s">
        <v>1066</v>
      </c>
      <c r="G658">
        <v>7.8</v>
      </c>
      <c r="H658">
        <v>56</v>
      </c>
      <c r="I658" t="s">
        <v>1867</v>
      </c>
      <c r="J658" s="3">
        <v>61721</v>
      </c>
      <c r="K658" t="s">
        <v>424</v>
      </c>
      <c r="M658" s="3" t="str">
        <f>IF(I658="Billy Wilder", "Must Watch", IF(I658="John Ford", "Watch", "Maybe"))</f>
        <v>Maybe</v>
      </c>
    </row>
    <row r="659" spans="1:13" x14ac:dyDescent="0.25">
      <c r="A659">
        <v>658</v>
      </c>
      <c r="B659" t="s">
        <v>1868</v>
      </c>
      <c r="C659">
        <v>-2005</v>
      </c>
      <c r="D659" t="s">
        <v>30</v>
      </c>
      <c r="E659" t="s">
        <v>89</v>
      </c>
      <c r="F659" t="s">
        <v>194</v>
      </c>
      <c r="G659">
        <v>7.8</v>
      </c>
      <c r="H659">
        <v>72</v>
      </c>
      <c r="I659" t="s">
        <v>753</v>
      </c>
      <c r="J659" s="3">
        <v>248574</v>
      </c>
      <c r="K659" t="s">
        <v>1869</v>
      </c>
      <c r="M659" s="3" t="str">
        <f>IF(I659="Billy Wilder", "Must Watch", IF(I659="John Ford", "Watch", "Maybe"))</f>
        <v>Maybe</v>
      </c>
    </row>
    <row r="660" spans="1:13" x14ac:dyDescent="0.25">
      <c r="A660">
        <v>659</v>
      </c>
      <c r="B660" t="s">
        <v>1870</v>
      </c>
      <c r="C660">
        <v>-2004</v>
      </c>
      <c r="D660" t="s">
        <v>30</v>
      </c>
      <c r="E660" t="s">
        <v>384</v>
      </c>
      <c r="F660" t="s">
        <v>78</v>
      </c>
      <c r="G660">
        <v>7.8</v>
      </c>
      <c r="H660">
        <v>53</v>
      </c>
      <c r="I660" t="s">
        <v>1871</v>
      </c>
      <c r="J660" s="3">
        <v>561135</v>
      </c>
      <c r="K660" t="s">
        <v>1872</v>
      </c>
      <c r="M660" s="3" t="str">
        <f>IF(I660="Billy Wilder", "Must Watch", IF(I660="John Ford", "Watch", "Maybe"))</f>
        <v>Maybe</v>
      </c>
    </row>
    <row r="661" spans="1:13" x14ac:dyDescent="0.25">
      <c r="A661">
        <v>660</v>
      </c>
      <c r="B661" t="s">
        <v>1873</v>
      </c>
      <c r="C661">
        <v>-2003</v>
      </c>
      <c r="D661">
        <v>15</v>
      </c>
      <c r="E661" t="s">
        <v>59</v>
      </c>
      <c r="F661" t="s">
        <v>109</v>
      </c>
      <c r="G661">
        <v>7.8</v>
      </c>
      <c r="H661">
        <v>55</v>
      </c>
      <c r="I661" t="s">
        <v>1150</v>
      </c>
      <c r="J661" s="3">
        <v>433298</v>
      </c>
      <c r="K661" t="s">
        <v>1874</v>
      </c>
      <c r="M661" s="3" t="str">
        <f>IF(I661="Billy Wilder", "Must Watch", IF(I661="John Ford", "Watch", "Maybe"))</f>
        <v>Maybe</v>
      </c>
    </row>
    <row r="662" spans="1:13" x14ac:dyDescent="0.25">
      <c r="A662">
        <v>661</v>
      </c>
      <c r="B662" t="s">
        <v>1875</v>
      </c>
      <c r="C662">
        <v>-2004</v>
      </c>
      <c r="D662">
        <v>15</v>
      </c>
      <c r="E662" t="s">
        <v>263</v>
      </c>
      <c r="F662" t="s">
        <v>466</v>
      </c>
      <c r="G662">
        <v>7.8</v>
      </c>
      <c r="H662">
        <v>75</v>
      </c>
      <c r="I662" t="s">
        <v>1215</v>
      </c>
      <c r="J662" s="3">
        <v>100867</v>
      </c>
      <c r="K662" t="s">
        <v>1876</v>
      </c>
      <c r="M662" s="3" t="str">
        <f>IF(I662="Billy Wilder", "Must Watch", IF(I662="John Ford", "Watch", "Maybe"))</f>
        <v>Maybe</v>
      </c>
    </row>
    <row r="663" spans="1:13" x14ac:dyDescent="0.25">
      <c r="A663">
        <v>662</v>
      </c>
      <c r="B663" t="s">
        <v>1877</v>
      </c>
      <c r="C663">
        <v>-2002</v>
      </c>
      <c r="D663">
        <v>18</v>
      </c>
      <c r="E663" t="s">
        <v>241</v>
      </c>
      <c r="F663" t="s">
        <v>26</v>
      </c>
      <c r="G663">
        <v>7.8</v>
      </c>
      <c r="H663">
        <v>82</v>
      </c>
      <c r="I663" t="s">
        <v>1878</v>
      </c>
      <c r="J663" s="3">
        <v>45463</v>
      </c>
      <c r="K663" t="s">
        <v>1299</v>
      </c>
      <c r="M663" s="3" t="str">
        <f>IF(I663="Billy Wilder", "Must Watch", IF(I663="John Ford", "Watch", "Maybe"))</f>
        <v>Maybe</v>
      </c>
    </row>
    <row r="664" spans="1:13" x14ac:dyDescent="0.25">
      <c r="A664">
        <v>663</v>
      </c>
      <c r="B664" t="s">
        <v>1879</v>
      </c>
      <c r="C664">
        <v>-2001</v>
      </c>
      <c r="D664" t="s">
        <v>74</v>
      </c>
      <c r="E664" t="s">
        <v>254</v>
      </c>
      <c r="F664" t="s">
        <v>275</v>
      </c>
      <c r="G664">
        <v>7.8</v>
      </c>
      <c r="H664">
        <v>70</v>
      </c>
      <c r="I664" t="s">
        <v>1212</v>
      </c>
      <c r="J664" s="3">
        <v>27603</v>
      </c>
      <c r="K664" t="s">
        <v>1880</v>
      </c>
      <c r="M664" s="3" t="str">
        <f>IF(I664="Billy Wilder", "Must Watch", IF(I664="John Ford", "Watch", "Maybe"))</f>
        <v>Maybe</v>
      </c>
    </row>
    <row r="665" spans="1:13" x14ac:dyDescent="0.25">
      <c r="A665">
        <v>664</v>
      </c>
      <c r="B665" t="s">
        <v>1881</v>
      </c>
      <c r="C665">
        <v>-2001</v>
      </c>
      <c r="D665" t="s">
        <v>30</v>
      </c>
      <c r="E665" t="s">
        <v>342</v>
      </c>
      <c r="F665" t="s">
        <v>1556</v>
      </c>
      <c r="G665">
        <v>7.8</v>
      </c>
      <c r="H665">
        <v>61</v>
      </c>
      <c r="I665" t="s">
        <v>1882</v>
      </c>
      <c r="J665" s="3">
        <v>48271</v>
      </c>
      <c r="K665" t="s">
        <v>1883</v>
      </c>
      <c r="M665" s="3" t="str">
        <f>IF(I665="Billy Wilder", "Must Watch", IF(I665="John Ford", "Watch", "Maybe"))</f>
        <v>Maybe</v>
      </c>
    </row>
    <row r="666" spans="1:13" x14ac:dyDescent="0.25">
      <c r="A666">
        <v>665</v>
      </c>
      <c r="B666" t="s">
        <v>1884</v>
      </c>
      <c r="C666">
        <v>-2000</v>
      </c>
      <c r="D666">
        <v>15</v>
      </c>
      <c r="E666" t="s">
        <v>209</v>
      </c>
      <c r="F666" t="s">
        <v>676</v>
      </c>
      <c r="G666">
        <v>7.8</v>
      </c>
      <c r="H666">
        <v>58</v>
      </c>
      <c r="I666" t="s">
        <v>322</v>
      </c>
      <c r="J666" s="3">
        <v>29870</v>
      </c>
      <c r="M666" s="3" t="str">
        <f>IF(I666="Billy Wilder", "Must Watch", IF(I666="John Ford", "Watch", "Maybe"))</f>
        <v>Maybe</v>
      </c>
    </row>
    <row r="667" spans="1:13" x14ac:dyDescent="0.25">
      <c r="A667">
        <v>666</v>
      </c>
      <c r="B667" t="s">
        <v>1885</v>
      </c>
      <c r="C667">
        <v>-2000</v>
      </c>
      <c r="D667" t="s">
        <v>74</v>
      </c>
      <c r="E667" t="s">
        <v>325</v>
      </c>
      <c r="F667" t="s">
        <v>542</v>
      </c>
      <c r="G667">
        <v>7.8</v>
      </c>
      <c r="H667">
        <v>48</v>
      </c>
      <c r="I667" t="s">
        <v>1886</v>
      </c>
      <c r="J667" s="3">
        <v>212665</v>
      </c>
      <c r="K667" t="s">
        <v>1460</v>
      </c>
      <c r="M667" s="3" t="str">
        <f>IF(I667="Billy Wilder", "Must Watch", IF(I667="John Ford", "Watch", "Maybe"))</f>
        <v>Maybe</v>
      </c>
    </row>
    <row r="668" spans="1:13" x14ac:dyDescent="0.25">
      <c r="A668">
        <v>667</v>
      </c>
      <c r="B668" t="s">
        <v>1887</v>
      </c>
      <c r="C668">
        <v>-1999</v>
      </c>
      <c r="D668">
        <v>15</v>
      </c>
      <c r="E668" t="s">
        <v>321</v>
      </c>
      <c r="F668" t="s">
        <v>20</v>
      </c>
      <c r="G668">
        <v>7.8</v>
      </c>
      <c r="H668">
        <v>87</v>
      </c>
      <c r="I668" t="s">
        <v>1516</v>
      </c>
      <c r="J668" s="3">
        <v>95993</v>
      </c>
      <c r="K668" t="s">
        <v>1888</v>
      </c>
      <c r="M668" s="3" t="str">
        <f>IF(I668="Billy Wilder", "Must Watch", IF(I668="John Ford", "Watch", "Maybe"))</f>
        <v>Maybe</v>
      </c>
    </row>
    <row r="669" spans="1:13" x14ac:dyDescent="0.25">
      <c r="A669">
        <v>668</v>
      </c>
      <c r="B669" t="s">
        <v>1889</v>
      </c>
      <c r="C669">
        <v>-2000</v>
      </c>
      <c r="D669">
        <v>12</v>
      </c>
      <c r="E669" t="s">
        <v>354</v>
      </c>
      <c r="F669" t="s">
        <v>1890</v>
      </c>
      <c r="G669">
        <v>7.8</v>
      </c>
      <c r="H669">
        <v>73</v>
      </c>
      <c r="I669" t="s">
        <v>79</v>
      </c>
      <c r="J669" s="3">
        <v>579491</v>
      </c>
      <c r="K669" t="s">
        <v>1891</v>
      </c>
      <c r="M669" s="3" t="str">
        <f>IF(I669="Billy Wilder", "Must Watch", IF(I669="John Ford", "Watch", "Maybe"))</f>
        <v>Maybe</v>
      </c>
    </row>
    <row r="670" spans="1:13" x14ac:dyDescent="0.25">
      <c r="A670">
        <v>669</v>
      </c>
      <c r="B670" t="s">
        <v>1892</v>
      </c>
      <c r="C670">
        <v>-1999</v>
      </c>
      <c r="D670">
        <v>15</v>
      </c>
      <c r="E670" t="s">
        <v>1772</v>
      </c>
      <c r="F670" t="s">
        <v>1093</v>
      </c>
      <c r="G670">
        <v>7.8</v>
      </c>
      <c r="H670">
        <v>84</v>
      </c>
      <c r="I670" t="s">
        <v>433</v>
      </c>
      <c r="J670" s="3">
        <v>170013</v>
      </c>
      <c r="K670" t="s">
        <v>1893</v>
      </c>
      <c r="M670" s="3" t="str">
        <f>IF(I670="Billy Wilder", "Must Watch", IF(I670="John Ford", "Watch", "Maybe"))</f>
        <v>Maybe</v>
      </c>
    </row>
    <row r="671" spans="1:13" x14ac:dyDescent="0.25">
      <c r="A671">
        <v>670</v>
      </c>
      <c r="B671" t="s">
        <v>1894</v>
      </c>
      <c r="C671">
        <v>-1999</v>
      </c>
      <c r="D671" t="s">
        <v>74</v>
      </c>
      <c r="E671" t="s">
        <v>409</v>
      </c>
      <c r="F671" t="s">
        <v>824</v>
      </c>
      <c r="G671">
        <v>7.8</v>
      </c>
      <c r="H671">
        <v>71</v>
      </c>
      <c r="I671" t="s">
        <v>1895</v>
      </c>
      <c r="J671" s="3">
        <v>89978</v>
      </c>
      <c r="K671" t="s">
        <v>1896</v>
      </c>
      <c r="M671" s="3" t="str">
        <f>IF(I671="Billy Wilder", "Must Watch", IF(I671="John Ford", "Watch", "Maybe"))</f>
        <v>Maybe</v>
      </c>
    </row>
    <row r="672" spans="1:13" x14ac:dyDescent="0.25">
      <c r="A672">
        <v>671</v>
      </c>
      <c r="B672" t="s">
        <v>1897</v>
      </c>
      <c r="C672">
        <v>-1999</v>
      </c>
      <c r="D672">
        <v>15</v>
      </c>
      <c r="E672" t="s">
        <v>325</v>
      </c>
      <c r="F672" t="s">
        <v>769</v>
      </c>
      <c r="G672">
        <v>7.8</v>
      </c>
      <c r="H672">
        <v>90</v>
      </c>
      <c r="I672" t="s">
        <v>1104</v>
      </c>
      <c r="J672" s="3">
        <v>331671</v>
      </c>
      <c r="K672" t="s">
        <v>1898</v>
      </c>
      <c r="M672" s="3" t="str">
        <f>IF(I672="Billy Wilder", "Must Watch", IF(I672="John Ford", "Watch", "Maybe"))</f>
        <v>Maybe</v>
      </c>
    </row>
    <row r="673" spans="1:13" x14ac:dyDescent="0.25">
      <c r="A673">
        <v>672</v>
      </c>
      <c r="B673" t="s">
        <v>1899</v>
      </c>
      <c r="C673">
        <v>-1997</v>
      </c>
      <c r="D673">
        <v>15</v>
      </c>
      <c r="E673" t="s">
        <v>171</v>
      </c>
      <c r="F673" t="s">
        <v>1900</v>
      </c>
      <c r="G673">
        <v>7.8</v>
      </c>
      <c r="H673">
        <v>64</v>
      </c>
      <c r="I673" t="s">
        <v>1901</v>
      </c>
      <c r="J673" s="3">
        <v>300242</v>
      </c>
      <c r="K673" t="s">
        <v>1902</v>
      </c>
      <c r="M673" s="3" t="str">
        <f>IF(I673="Billy Wilder", "Must Watch", IF(I673="John Ford", "Watch", "Maybe"))</f>
        <v>Maybe</v>
      </c>
    </row>
    <row r="674" spans="1:13" x14ac:dyDescent="0.25">
      <c r="A674">
        <v>673</v>
      </c>
      <c r="B674" t="s">
        <v>1903</v>
      </c>
      <c r="C674">
        <v>-1996</v>
      </c>
      <c r="D674" t="s">
        <v>74</v>
      </c>
      <c r="E674" t="s">
        <v>1120</v>
      </c>
      <c r="F674" t="s">
        <v>20</v>
      </c>
      <c r="G674">
        <v>7.8</v>
      </c>
      <c r="I674" t="s">
        <v>1904</v>
      </c>
      <c r="J674" s="3">
        <v>38061</v>
      </c>
      <c r="K674" t="s">
        <v>1905</v>
      </c>
      <c r="M674" s="3" t="str">
        <f>IF(I674="Billy Wilder", "Must Watch", IF(I674="John Ford", "Watch", "Maybe"))</f>
        <v>Maybe</v>
      </c>
    </row>
    <row r="675" spans="1:13" x14ac:dyDescent="0.25">
      <c r="A675">
        <v>674</v>
      </c>
      <c r="B675" t="s">
        <v>1906</v>
      </c>
      <c r="C675">
        <v>-1996</v>
      </c>
      <c r="D675">
        <v>18</v>
      </c>
      <c r="E675" t="s">
        <v>1086</v>
      </c>
      <c r="F675" t="s">
        <v>20</v>
      </c>
      <c r="G675">
        <v>7.8</v>
      </c>
      <c r="H675">
        <v>76</v>
      </c>
      <c r="I675" t="s">
        <v>1197</v>
      </c>
      <c r="J675" s="3">
        <v>66524</v>
      </c>
      <c r="K675" t="s">
        <v>912</v>
      </c>
      <c r="M675" s="3" t="str">
        <f>IF(I675="Billy Wilder", "Must Watch", IF(I675="John Ford", "Watch", "Maybe"))</f>
        <v>Maybe</v>
      </c>
    </row>
    <row r="676" spans="1:13" x14ac:dyDescent="0.25">
      <c r="A676">
        <v>675</v>
      </c>
      <c r="B676" t="s">
        <v>1907</v>
      </c>
      <c r="C676">
        <v>-1994</v>
      </c>
      <c r="D676">
        <v>15</v>
      </c>
      <c r="E676" t="s">
        <v>136</v>
      </c>
      <c r="F676" t="s">
        <v>177</v>
      </c>
      <c r="G676">
        <v>7.8</v>
      </c>
      <c r="H676">
        <v>70</v>
      </c>
      <c r="I676" t="s">
        <v>1190</v>
      </c>
      <c r="J676" s="3">
        <v>175049</v>
      </c>
      <c r="K676" t="s">
        <v>1908</v>
      </c>
      <c r="M676" s="3" t="str">
        <f>IF(I676="Billy Wilder", "Must Watch", IF(I676="John Ford", "Watch", "Maybe"))</f>
        <v>Maybe</v>
      </c>
    </row>
    <row r="677" spans="1:13" x14ac:dyDescent="0.25">
      <c r="A677">
        <v>676</v>
      </c>
      <c r="B677" t="s">
        <v>1909</v>
      </c>
      <c r="C677">
        <v>-1993</v>
      </c>
      <c r="D677">
        <v>15</v>
      </c>
      <c r="E677" t="s">
        <v>108</v>
      </c>
      <c r="F677" t="s">
        <v>42</v>
      </c>
      <c r="G677">
        <v>7.8</v>
      </c>
      <c r="H677">
        <v>50</v>
      </c>
      <c r="I677" t="s">
        <v>1910</v>
      </c>
      <c r="J677" s="3">
        <v>145847</v>
      </c>
      <c r="K677" t="s">
        <v>1911</v>
      </c>
      <c r="M677" s="3" t="str">
        <f>IF(I677="Billy Wilder", "Must Watch", IF(I677="John Ford", "Watch", "Maybe"))</f>
        <v>Maybe</v>
      </c>
    </row>
    <row r="678" spans="1:13" x14ac:dyDescent="0.25">
      <c r="A678">
        <v>677</v>
      </c>
      <c r="B678" t="s">
        <v>1912</v>
      </c>
      <c r="C678">
        <v>-1993</v>
      </c>
      <c r="D678" t="s">
        <v>74</v>
      </c>
      <c r="E678" t="s">
        <v>321</v>
      </c>
      <c r="F678" t="s">
        <v>508</v>
      </c>
      <c r="G678">
        <v>7.8</v>
      </c>
      <c r="H678">
        <v>55</v>
      </c>
      <c r="I678" t="s">
        <v>1913</v>
      </c>
      <c r="J678" s="3">
        <v>90054</v>
      </c>
      <c r="K678" t="s">
        <v>1914</v>
      </c>
      <c r="M678" s="3" t="str">
        <f>IF(I678="Billy Wilder", "Must Watch", IF(I678="John Ford", "Watch", "Maybe"))</f>
        <v>Maybe</v>
      </c>
    </row>
    <row r="679" spans="1:13" x14ac:dyDescent="0.25">
      <c r="A679">
        <v>678</v>
      </c>
      <c r="B679" t="s">
        <v>1915</v>
      </c>
      <c r="C679">
        <v>-1993</v>
      </c>
      <c r="D679" t="s">
        <v>49</v>
      </c>
      <c r="E679" t="s">
        <v>331</v>
      </c>
      <c r="F679" t="s">
        <v>78</v>
      </c>
      <c r="G679">
        <v>7.8</v>
      </c>
      <c r="H679">
        <v>86</v>
      </c>
      <c r="I679" t="s">
        <v>1916</v>
      </c>
      <c r="J679" s="3">
        <v>73567</v>
      </c>
      <c r="K679" t="s">
        <v>1917</v>
      </c>
      <c r="M679" s="3" t="str">
        <f>IF(I679="Billy Wilder", "Must Watch", IF(I679="John Ford", "Watch", "Maybe"))</f>
        <v>Maybe</v>
      </c>
    </row>
    <row r="680" spans="1:13" x14ac:dyDescent="0.25">
      <c r="A680">
        <v>679</v>
      </c>
      <c r="B680" t="s">
        <v>1918</v>
      </c>
      <c r="C680">
        <v>-1993</v>
      </c>
      <c r="D680">
        <v>18</v>
      </c>
      <c r="E680" t="s">
        <v>1057</v>
      </c>
      <c r="F680" t="s">
        <v>279</v>
      </c>
      <c r="G680">
        <v>7.8</v>
      </c>
      <c r="I680" t="s">
        <v>1919</v>
      </c>
      <c r="J680" s="3">
        <v>37270</v>
      </c>
      <c r="M680" s="3" t="str">
        <f>IF(I680="Billy Wilder", "Must Watch", IF(I680="John Ford", "Watch", "Maybe"))</f>
        <v>Maybe</v>
      </c>
    </row>
    <row r="681" spans="1:13" x14ac:dyDescent="0.25">
      <c r="A681">
        <v>680</v>
      </c>
      <c r="B681" t="s">
        <v>1920</v>
      </c>
      <c r="C681">
        <v>-1993</v>
      </c>
      <c r="D681">
        <v>12</v>
      </c>
      <c r="E681" t="s">
        <v>108</v>
      </c>
      <c r="F681" t="s">
        <v>32</v>
      </c>
      <c r="G681">
        <v>7.8</v>
      </c>
      <c r="H681">
        <v>87</v>
      </c>
      <c r="I681" t="s">
        <v>1921</v>
      </c>
      <c r="J681" s="3">
        <v>290503</v>
      </c>
      <c r="K681" t="s">
        <v>1922</v>
      </c>
      <c r="M681" s="3" t="str">
        <f>IF(I681="Billy Wilder", "Must Watch", IF(I681="John Ford", "Watch", "Maybe"))</f>
        <v>Maybe</v>
      </c>
    </row>
    <row r="682" spans="1:13" x14ac:dyDescent="0.25">
      <c r="A682">
        <v>681</v>
      </c>
      <c r="B682" t="s">
        <v>1923</v>
      </c>
      <c r="C682">
        <v>-1993</v>
      </c>
      <c r="D682">
        <v>18</v>
      </c>
      <c r="E682" t="s">
        <v>148</v>
      </c>
      <c r="F682" t="s">
        <v>26</v>
      </c>
      <c r="G682">
        <v>7.8</v>
      </c>
      <c r="H682">
        <v>80</v>
      </c>
      <c r="I682" t="s">
        <v>1924</v>
      </c>
      <c r="J682" s="3">
        <v>139565</v>
      </c>
      <c r="K682" t="s">
        <v>1925</v>
      </c>
      <c r="M682" s="3" t="str">
        <f>IF(I682="Billy Wilder", "Must Watch", IF(I682="John Ford", "Watch", "Maybe"))</f>
        <v>Maybe</v>
      </c>
    </row>
    <row r="683" spans="1:13" x14ac:dyDescent="0.25">
      <c r="A683">
        <v>682</v>
      </c>
      <c r="B683" t="s">
        <v>1926</v>
      </c>
      <c r="C683">
        <v>-1993</v>
      </c>
      <c r="D683" t="s">
        <v>74</v>
      </c>
      <c r="E683" t="s">
        <v>1568</v>
      </c>
      <c r="F683" t="s">
        <v>279</v>
      </c>
      <c r="G683">
        <v>7.8</v>
      </c>
      <c r="I683" t="s">
        <v>1927</v>
      </c>
      <c r="J683" s="3">
        <v>50271</v>
      </c>
      <c r="K683" t="s">
        <v>1928</v>
      </c>
      <c r="M683" s="3" t="str">
        <f>IF(I683="Billy Wilder", "Must Watch", IF(I683="John Ford", "Watch", "Maybe"))</f>
        <v>Maybe</v>
      </c>
    </row>
    <row r="684" spans="1:13" x14ac:dyDescent="0.25">
      <c r="A684">
        <v>683</v>
      </c>
      <c r="B684" t="s">
        <v>1929</v>
      </c>
      <c r="C684">
        <v>-1991</v>
      </c>
      <c r="D684">
        <v>15</v>
      </c>
      <c r="E684" t="s">
        <v>176</v>
      </c>
      <c r="F684" t="s">
        <v>26</v>
      </c>
      <c r="G684">
        <v>7.8</v>
      </c>
      <c r="H684">
        <v>76</v>
      </c>
      <c r="I684" t="s">
        <v>1930</v>
      </c>
      <c r="J684" s="3">
        <v>138685</v>
      </c>
      <c r="K684" t="s">
        <v>1931</v>
      </c>
      <c r="M684" s="3" t="str">
        <f>IF(I684="Billy Wilder", "Must Watch", IF(I684="John Ford", "Watch", "Maybe"))</f>
        <v>Maybe</v>
      </c>
    </row>
    <row r="685" spans="1:13" x14ac:dyDescent="0.25">
      <c r="A685">
        <v>684</v>
      </c>
      <c r="B685" t="s">
        <v>1932</v>
      </c>
      <c r="C685">
        <v>-1990</v>
      </c>
      <c r="D685">
        <v>18</v>
      </c>
      <c r="E685" t="s">
        <v>493</v>
      </c>
      <c r="F685" t="s">
        <v>756</v>
      </c>
      <c r="G685">
        <v>7.8</v>
      </c>
      <c r="H685">
        <v>75</v>
      </c>
      <c r="I685" t="s">
        <v>935</v>
      </c>
      <c r="J685" s="3">
        <v>204929</v>
      </c>
      <c r="K685" t="s">
        <v>1933</v>
      </c>
      <c r="M685" s="3" t="str">
        <f>IF(I685="Billy Wilder", "Must Watch", IF(I685="John Ford", "Watch", "Maybe"))</f>
        <v>Maybe</v>
      </c>
    </row>
    <row r="686" spans="1:13" x14ac:dyDescent="0.25">
      <c r="A686">
        <v>685</v>
      </c>
      <c r="B686" t="s">
        <v>1934</v>
      </c>
      <c r="C686">
        <v>-1990</v>
      </c>
      <c r="D686">
        <v>12</v>
      </c>
      <c r="E686" t="s">
        <v>148</v>
      </c>
      <c r="F686" t="s">
        <v>606</v>
      </c>
      <c r="G686">
        <v>7.8</v>
      </c>
      <c r="H686">
        <v>74</v>
      </c>
      <c r="I686" t="s">
        <v>1935</v>
      </c>
      <c r="J686" s="3">
        <v>138991</v>
      </c>
      <c r="K686" t="s">
        <v>1936</v>
      </c>
      <c r="M686" s="3" t="str">
        <f>IF(I686="Billy Wilder", "Must Watch", IF(I686="John Ford", "Watch", "Maybe"))</f>
        <v>Maybe</v>
      </c>
    </row>
    <row r="687" spans="1:13" x14ac:dyDescent="0.25">
      <c r="A687">
        <v>686</v>
      </c>
      <c r="B687" t="s">
        <v>1937</v>
      </c>
      <c r="C687">
        <v>-1989</v>
      </c>
      <c r="D687" t="s">
        <v>49</v>
      </c>
      <c r="E687" t="s">
        <v>403</v>
      </c>
      <c r="F687" t="s">
        <v>120</v>
      </c>
      <c r="G687">
        <v>7.8</v>
      </c>
      <c r="H687">
        <v>83</v>
      </c>
      <c r="I687" t="s">
        <v>121</v>
      </c>
      <c r="J687" s="3">
        <v>141253</v>
      </c>
      <c r="M687" s="3" t="str">
        <f>IF(I687="Billy Wilder", "Must Watch", IF(I687="John Ford", "Watch", "Maybe"))</f>
        <v>Maybe</v>
      </c>
    </row>
    <row r="688" spans="1:13" x14ac:dyDescent="0.25">
      <c r="A688">
        <v>687</v>
      </c>
      <c r="B688" t="s">
        <v>1938</v>
      </c>
      <c r="C688">
        <v>-1989</v>
      </c>
      <c r="D688">
        <v>15</v>
      </c>
      <c r="E688" t="s">
        <v>268</v>
      </c>
      <c r="F688" t="s">
        <v>42</v>
      </c>
      <c r="G688">
        <v>7.8</v>
      </c>
      <c r="H688">
        <v>78</v>
      </c>
      <c r="I688" t="s">
        <v>1150</v>
      </c>
      <c r="J688" s="3">
        <v>133793</v>
      </c>
      <c r="K688" t="s">
        <v>1939</v>
      </c>
      <c r="M688" s="3" t="str">
        <f>IF(I688="Billy Wilder", "Must Watch", IF(I688="John Ford", "Watch", "Maybe"))</f>
        <v>Maybe</v>
      </c>
    </row>
    <row r="689" spans="1:13" x14ac:dyDescent="0.25">
      <c r="A689">
        <v>688</v>
      </c>
      <c r="B689" t="s">
        <v>1940</v>
      </c>
      <c r="C689">
        <v>-1989</v>
      </c>
      <c r="D689">
        <v>18</v>
      </c>
      <c r="E689" t="s">
        <v>610</v>
      </c>
      <c r="F689" t="s">
        <v>32</v>
      </c>
      <c r="G689">
        <v>7.8</v>
      </c>
      <c r="H689">
        <v>82</v>
      </c>
      <c r="I689" t="s">
        <v>1941</v>
      </c>
      <c r="J689" s="3">
        <v>48238</v>
      </c>
      <c r="M689" s="3" t="str">
        <f>IF(I689="Billy Wilder", "Must Watch", IF(I689="John Ford", "Watch", "Maybe"))</f>
        <v>Maybe</v>
      </c>
    </row>
    <row r="690" spans="1:13" x14ac:dyDescent="0.25">
      <c r="A690">
        <v>689</v>
      </c>
      <c r="B690" t="s">
        <v>1942</v>
      </c>
      <c r="C690">
        <v>-1989</v>
      </c>
      <c r="D690">
        <v>15</v>
      </c>
      <c r="E690" t="s">
        <v>418</v>
      </c>
      <c r="F690" t="s">
        <v>304</v>
      </c>
      <c r="G690">
        <v>7.8</v>
      </c>
      <c r="H690">
        <v>77</v>
      </c>
      <c r="I690" t="s">
        <v>1294</v>
      </c>
      <c r="J690" s="3">
        <v>57772</v>
      </c>
      <c r="K690" t="s">
        <v>1943</v>
      </c>
      <c r="M690" s="3" t="str">
        <f>IF(I690="Billy Wilder", "Must Watch", IF(I690="John Ford", "Watch", "Maybe"))</f>
        <v>Maybe</v>
      </c>
    </row>
    <row r="691" spans="1:13" x14ac:dyDescent="0.25">
      <c r="A691">
        <v>690</v>
      </c>
      <c r="B691" t="s">
        <v>1944</v>
      </c>
      <c r="C691">
        <v>-1989</v>
      </c>
      <c r="D691" t="s">
        <v>74</v>
      </c>
      <c r="E691" t="s">
        <v>409</v>
      </c>
      <c r="F691" t="s">
        <v>225</v>
      </c>
      <c r="G691">
        <v>7.8</v>
      </c>
      <c r="H691">
        <v>57</v>
      </c>
      <c r="I691" t="s">
        <v>79</v>
      </c>
      <c r="J691" s="3">
        <v>521227</v>
      </c>
      <c r="K691" t="s">
        <v>1945</v>
      </c>
      <c r="M691" s="3" t="str">
        <f>IF(I691="Billy Wilder", "Must Watch", IF(I691="John Ford", "Watch", "Maybe"))</f>
        <v>Maybe</v>
      </c>
    </row>
    <row r="692" spans="1:13" x14ac:dyDescent="0.25">
      <c r="A692">
        <v>691</v>
      </c>
      <c r="B692" t="s">
        <v>1946</v>
      </c>
      <c r="C692">
        <v>-1988</v>
      </c>
      <c r="D692">
        <v>18</v>
      </c>
      <c r="E692" t="s">
        <v>477</v>
      </c>
      <c r="F692" t="s">
        <v>1947</v>
      </c>
      <c r="G692">
        <v>7.8</v>
      </c>
      <c r="H692">
        <v>65</v>
      </c>
      <c r="I692" t="s">
        <v>1282</v>
      </c>
      <c r="J692" s="3">
        <v>99407</v>
      </c>
      <c r="K692" t="s">
        <v>1948</v>
      </c>
      <c r="M692" s="3" t="str">
        <f>IF(I692="Billy Wilder", "Must Watch", IF(I692="John Ford", "Watch", "Maybe"))</f>
        <v>Maybe</v>
      </c>
    </row>
    <row r="693" spans="1:13" x14ac:dyDescent="0.25">
      <c r="A693">
        <v>692</v>
      </c>
      <c r="B693" t="s">
        <v>1949</v>
      </c>
      <c r="C693">
        <v>-1987</v>
      </c>
      <c r="D693">
        <v>18</v>
      </c>
      <c r="E693" t="s">
        <v>493</v>
      </c>
      <c r="F693" t="s">
        <v>1950</v>
      </c>
      <c r="G693">
        <v>7.8</v>
      </c>
      <c r="H693">
        <v>45</v>
      </c>
      <c r="I693" t="s">
        <v>641</v>
      </c>
      <c r="J693" s="3">
        <v>402756</v>
      </c>
      <c r="K693" t="s">
        <v>1951</v>
      </c>
      <c r="M693" s="3" t="str">
        <f>IF(I693="Billy Wilder", "Must Watch", IF(I693="John Ford", "Watch", "Maybe"))</f>
        <v>Maybe</v>
      </c>
    </row>
    <row r="694" spans="1:13" x14ac:dyDescent="0.25">
      <c r="A694">
        <v>693</v>
      </c>
      <c r="B694" t="s">
        <v>1952</v>
      </c>
      <c r="C694">
        <v>-1986</v>
      </c>
      <c r="D694">
        <v>15</v>
      </c>
      <c r="E694" t="s">
        <v>403</v>
      </c>
      <c r="F694" t="s">
        <v>1287</v>
      </c>
      <c r="G694">
        <v>7.8</v>
      </c>
      <c r="H694">
        <v>61</v>
      </c>
      <c r="I694" t="s">
        <v>1953</v>
      </c>
      <c r="J694" s="3">
        <v>350460</v>
      </c>
      <c r="K694" t="s">
        <v>1954</v>
      </c>
      <c r="M694" s="3" t="str">
        <f>IF(I694="Billy Wilder", "Must Watch", IF(I694="John Ford", "Watch", "Maybe"))</f>
        <v>Maybe</v>
      </c>
    </row>
    <row r="695" spans="1:13" x14ac:dyDescent="0.25">
      <c r="A695">
        <v>694</v>
      </c>
      <c r="B695" t="s">
        <v>1955</v>
      </c>
      <c r="C695">
        <v>-1985</v>
      </c>
      <c r="D695">
        <v>15</v>
      </c>
      <c r="E695" t="s">
        <v>576</v>
      </c>
      <c r="F695" t="s">
        <v>304</v>
      </c>
      <c r="G695">
        <v>7.8</v>
      </c>
      <c r="H695">
        <v>66</v>
      </c>
      <c r="I695" t="s">
        <v>1953</v>
      </c>
      <c r="J695" s="3">
        <v>389134</v>
      </c>
      <c r="K695" t="s">
        <v>1956</v>
      </c>
      <c r="M695" s="3" t="str">
        <f>IF(I695="Billy Wilder", "Must Watch", IF(I695="John Ford", "Watch", "Maybe"))</f>
        <v>Maybe</v>
      </c>
    </row>
    <row r="696" spans="1:13" x14ac:dyDescent="0.25">
      <c r="A696">
        <v>695</v>
      </c>
      <c r="B696" t="s">
        <v>1957</v>
      </c>
      <c r="C696">
        <v>-1984</v>
      </c>
      <c r="D696">
        <v>15</v>
      </c>
      <c r="E696" t="s">
        <v>163</v>
      </c>
      <c r="F696" t="s">
        <v>42</v>
      </c>
      <c r="G696">
        <v>7.8</v>
      </c>
      <c r="H696">
        <v>76</v>
      </c>
      <c r="I696" t="s">
        <v>1958</v>
      </c>
      <c r="J696" s="3">
        <v>55298</v>
      </c>
      <c r="K696" t="s">
        <v>1959</v>
      </c>
      <c r="M696" s="3" t="str">
        <f>IF(I696="Billy Wilder", "Must Watch", IF(I696="John Ford", "Watch", "Maybe"))</f>
        <v>Maybe</v>
      </c>
    </row>
    <row r="697" spans="1:13" x14ac:dyDescent="0.25">
      <c r="A697">
        <v>696</v>
      </c>
      <c r="B697" t="s">
        <v>1960</v>
      </c>
      <c r="C697">
        <v>-1984</v>
      </c>
      <c r="D697" t="s">
        <v>74</v>
      </c>
      <c r="E697" t="s">
        <v>291</v>
      </c>
      <c r="F697" t="s">
        <v>1961</v>
      </c>
      <c r="G697">
        <v>7.8</v>
      </c>
      <c r="H697">
        <v>71</v>
      </c>
      <c r="I697" t="s">
        <v>1962</v>
      </c>
      <c r="J697" s="3">
        <v>406912</v>
      </c>
      <c r="K697" t="s">
        <v>1963</v>
      </c>
      <c r="M697" s="3" t="str">
        <f>IF(I697="Billy Wilder", "Must Watch", IF(I697="John Ford", "Watch", "Maybe"))</f>
        <v>Maybe</v>
      </c>
    </row>
    <row r="698" spans="1:13" x14ac:dyDescent="0.25">
      <c r="A698">
        <v>697</v>
      </c>
      <c r="B698" t="s">
        <v>1964</v>
      </c>
      <c r="C698">
        <v>-1983</v>
      </c>
      <c r="D698">
        <v>15</v>
      </c>
      <c r="E698" t="s">
        <v>1631</v>
      </c>
      <c r="F698" t="s">
        <v>466</v>
      </c>
      <c r="G698">
        <v>7.8</v>
      </c>
      <c r="H698">
        <v>91</v>
      </c>
      <c r="I698" t="s">
        <v>1965</v>
      </c>
      <c r="J698" s="3">
        <v>61141</v>
      </c>
      <c r="K698" t="s">
        <v>1966</v>
      </c>
      <c r="M698" s="3" t="str">
        <f>IF(I698="Billy Wilder", "Must Watch", IF(I698="John Ford", "Watch", "Maybe"))</f>
        <v>Maybe</v>
      </c>
    </row>
    <row r="699" spans="1:13" x14ac:dyDescent="0.25">
      <c r="A699">
        <v>698</v>
      </c>
      <c r="B699" t="s">
        <v>1967</v>
      </c>
      <c r="C699">
        <v>-1982</v>
      </c>
      <c r="D699" t="s">
        <v>74</v>
      </c>
      <c r="E699" t="s">
        <v>241</v>
      </c>
      <c r="F699" t="s">
        <v>453</v>
      </c>
      <c r="G699">
        <v>7.8</v>
      </c>
      <c r="H699">
        <v>73</v>
      </c>
      <c r="I699" t="s">
        <v>96</v>
      </c>
      <c r="J699" s="3">
        <v>101537</v>
      </c>
      <c r="K699" t="s">
        <v>1968</v>
      </c>
      <c r="M699" s="3" t="str">
        <f>IF(I699="Billy Wilder", "Must Watch", IF(I699="John Ford", "Watch", "Maybe"))</f>
        <v>Maybe</v>
      </c>
    </row>
    <row r="700" spans="1:13" x14ac:dyDescent="0.25">
      <c r="A700">
        <v>699</v>
      </c>
      <c r="B700" t="s">
        <v>1969</v>
      </c>
      <c r="C700">
        <v>-1979</v>
      </c>
      <c r="D700" t="s">
        <v>155</v>
      </c>
      <c r="E700" t="s">
        <v>291</v>
      </c>
      <c r="F700" t="s">
        <v>20</v>
      </c>
      <c r="G700">
        <v>7.8</v>
      </c>
      <c r="H700">
        <v>77</v>
      </c>
      <c r="I700" t="s">
        <v>1970</v>
      </c>
      <c r="J700" s="3">
        <v>143960</v>
      </c>
      <c r="K700" t="s">
        <v>1971</v>
      </c>
      <c r="M700" s="3" t="str">
        <f>IF(I700="Billy Wilder", "Must Watch", IF(I700="John Ford", "Watch", "Maybe"))</f>
        <v>Maybe</v>
      </c>
    </row>
    <row r="701" spans="1:13" x14ac:dyDescent="0.25">
      <c r="A701">
        <v>700</v>
      </c>
      <c r="B701" t="s">
        <v>1972</v>
      </c>
      <c r="C701">
        <v>-1979</v>
      </c>
      <c r="D701" t="s">
        <v>24</v>
      </c>
      <c r="E701" t="s">
        <v>384</v>
      </c>
      <c r="F701" t="s">
        <v>1973</v>
      </c>
      <c r="G701">
        <v>7.8</v>
      </c>
      <c r="H701">
        <v>72</v>
      </c>
      <c r="I701" t="s">
        <v>1974</v>
      </c>
      <c r="J701" s="3">
        <v>31520</v>
      </c>
      <c r="K701" t="s">
        <v>1975</v>
      </c>
      <c r="M701" s="3" t="str">
        <f>IF(I701="Billy Wilder", "Must Watch", IF(I701="John Ford", "Watch", "Maybe"))</f>
        <v>Maybe</v>
      </c>
    </row>
    <row r="702" spans="1:13" x14ac:dyDescent="0.25">
      <c r="A702">
        <v>701</v>
      </c>
      <c r="B702" t="s">
        <v>1976</v>
      </c>
      <c r="C702">
        <v>-1978</v>
      </c>
      <c r="D702" t="s">
        <v>155</v>
      </c>
      <c r="E702" t="s">
        <v>1057</v>
      </c>
      <c r="F702" t="s">
        <v>78</v>
      </c>
      <c r="G702">
        <v>7.8</v>
      </c>
      <c r="H702">
        <v>93</v>
      </c>
      <c r="I702" t="s">
        <v>1977</v>
      </c>
      <c r="J702" s="3">
        <v>57723</v>
      </c>
      <c r="M702" s="3" t="str">
        <f>IF(I702="Billy Wilder", "Must Watch", IF(I702="John Ford", "Watch", "Maybe"))</f>
        <v>Maybe</v>
      </c>
    </row>
    <row r="703" spans="1:13" x14ac:dyDescent="0.25">
      <c r="A703">
        <v>702</v>
      </c>
      <c r="B703" t="s">
        <v>1978</v>
      </c>
      <c r="C703">
        <v>-1978</v>
      </c>
      <c r="D703" t="s">
        <v>24</v>
      </c>
      <c r="E703" t="s">
        <v>136</v>
      </c>
      <c r="F703" t="s">
        <v>1979</v>
      </c>
      <c r="G703">
        <v>7.8</v>
      </c>
      <c r="H703">
        <v>71</v>
      </c>
      <c r="I703" t="s">
        <v>1980</v>
      </c>
      <c r="J703" s="3">
        <v>119373</v>
      </c>
      <c r="K703" t="s">
        <v>1981</v>
      </c>
      <c r="M703" s="3" t="str">
        <f>IF(I703="Billy Wilder", "Must Watch", IF(I703="John Ford", "Watch", "Maybe"))</f>
        <v>Maybe</v>
      </c>
    </row>
    <row r="704" spans="1:13" x14ac:dyDescent="0.25">
      <c r="A704">
        <v>703</v>
      </c>
      <c r="B704" t="s">
        <v>1982</v>
      </c>
      <c r="C704">
        <v>-1976</v>
      </c>
      <c r="D704">
        <v>18</v>
      </c>
      <c r="E704" t="s">
        <v>309</v>
      </c>
      <c r="F704" t="s">
        <v>238</v>
      </c>
      <c r="G704">
        <v>7.8</v>
      </c>
      <c r="H704">
        <v>69</v>
      </c>
      <c r="I704" t="s">
        <v>635</v>
      </c>
      <c r="J704" s="3">
        <v>72889</v>
      </c>
      <c r="K704" t="s">
        <v>1983</v>
      </c>
      <c r="M704" s="3" t="str">
        <f>IF(I704="Billy Wilder", "Must Watch", IF(I704="John Ford", "Watch", "Maybe"))</f>
        <v>Maybe</v>
      </c>
    </row>
    <row r="705" spans="1:13" x14ac:dyDescent="0.25">
      <c r="A705">
        <v>704</v>
      </c>
      <c r="B705" t="s">
        <v>1984</v>
      </c>
      <c r="C705">
        <v>-1975</v>
      </c>
      <c r="D705" t="s">
        <v>74</v>
      </c>
      <c r="E705" t="s">
        <v>452</v>
      </c>
      <c r="F705" t="s">
        <v>1985</v>
      </c>
      <c r="G705">
        <v>7.8</v>
      </c>
      <c r="H705">
        <v>91</v>
      </c>
      <c r="I705" t="s">
        <v>698</v>
      </c>
      <c r="J705" s="3">
        <v>48688</v>
      </c>
      <c r="M705" s="3" t="str">
        <f>IF(I705="Billy Wilder", "Must Watch", IF(I705="John Ford", "Watch", "Maybe"))</f>
        <v>Maybe</v>
      </c>
    </row>
    <row r="706" spans="1:13" x14ac:dyDescent="0.25">
      <c r="A706">
        <v>705</v>
      </c>
      <c r="B706" t="s">
        <v>1986</v>
      </c>
      <c r="C706">
        <v>-1973</v>
      </c>
      <c r="D706" t="s">
        <v>24</v>
      </c>
      <c r="E706" t="s">
        <v>655</v>
      </c>
      <c r="F706" t="s">
        <v>1189</v>
      </c>
      <c r="G706">
        <v>7.8</v>
      </c>
      <c r="H706">
        <v>76</v>
      </c>
      <c r="I706" t="s">
        <v>1987</v>
      </c>
      <c r="J706" s="3">
        <v>42373</v>
      </c>
      <c r="K706" t="s">
        <v>488</v>
      </c>
      <c r="M706" s="3" t="str">
        <f>IF(I706="Billy Wilder", "Must Watch", IF(I706="John Ford", "Watch", "Maybe"))</f>
        <v>Maybe</v>
      </c>
    </row>
    <row r="707" spans="1:13" x14ac:dyDescent="0.25">
      <c r="A707">
        <v>706</v>
      </c>
      <c r="B707" t="s">
        <v>1988</v>
      </c>
      <c r="C707">
        <v>-1974</v>
      </c>
      <c r="D707" t="s">
        <v>236</v>
      </c>
      <c r="E707" t="s">
        <v>325</v>
      </c>
      <c r="F707" t="s">
        <v>317</v>
      </c>
      <c r="G707">
        <v>7.8</v>
      </c>
      <c r="H707">
        <v>87</v>
      </c>
      <c r="I707" t="s">
        <v>27</v>
      </c>
      <c r="J707" s="3">
        <v>110465</v>
      </c>
      <c r="K707" t="s">
        <v>1989</v>
      </c>
      <c r="M707" s="3" t="str">
        <f>IF(I707="Billy Wilder", "Must Watch", IF(I707="John Ford", "Watch", "Maybe"))</f>
        <v>Maybe</v>
      </c>
    </row>
    <row r="708" spans="1:13" x14ac:dyDescent="0.25">
      <c r="A708">
        <v>707</v>
      </c>
      <c r="B708" t="s">
        <v>1990</v>
      </c>
      <c r="C708">
        <v>-1973</v>
      </c>
      <c r="D708" t="s">
        <v>155</v>
      </c>
      <c r="E708" t="s">
        <v>354</v>
      </c>
      <c r="F708" t="s">
        <v>144</v>
      </c>
      <c r="G708">
        <v>7.8</v>
      </c>
      <c r="H708">
        <v>80</v>
      </c>
      <c r="I708" t="s">
        <v>1366</v>
      </c>
      <c r="J708" s="3">
        <v>40739</v>
      </c>
      <c r="K708" t="s">
        <v>1991</v>
      </c>
      <c r="M708" s="3" t="str">
        <f>IF(I708="Billy Wilder", "Must Watch", IF(I708="John Ford", "Watch", "Maybe"))</f>
        <v>Maybe</v>
      </c>
    </row>
    <row r="709" spans="1:13" x14ac:dyDescent="0.25">
      <c r="A709">
        <v>708</v>
      </c>
      <c r="B709" t="s">
        <v>1992</v>
      </c>
      <c r="C709">
        <v>-1972</v>
      </c>
      <c r="D709" t="s">
        <v>236</v>
      </c>
      <c r="E709" t="s">
        <v>249</v>
      </c>
      <c r="F709" t="s">
        <v>1287</v>
      </c>
      <c r="G709">
        <v>7.8</v>
      </c>
      <c r="H709">
        <v>93</v>
      </c>
      <c r="I709" t="s">
        <v>1335</v>
      </c>
      <c r="J709" s="3">
        <v>42653</v>
      </c>
      <c r="K709" t="s">
        <v>1039</v>
      </c>
      <c r="M709" s="3" t="str">
        <f>IF(I709="Billy Wilder", "Must Watch", IF(I709="John Ford", "Watch", "Maybe"))</f>
        <v>Maybe</v>
      </c>
    </row>
    <row r="710" spans="1:13" x14ac:dyDescent="0.25">
      <c r="A710">
        <v>709</v>
      </c>
      <c r="B710" t="s">
        <v>1993</v>
      </c>
      <c r="C710">
        <v>-1972</v>
      </c>
      <c r="D710" t="s">
        <v>155</v>
      </c>
      <c r="E710" t="s">
        <v>356</v>
      </c>
      <c r="F710" t="s">
        <v>1994</v>
      </c>
      <c r="G710">
        <v>7.8</v>
      </c>
      <c r="I710" t="s">
        <v>1285</v>
      </c>
      <c r="J710" s="3">
        <v>56758</v>
      </c>
      <c r="M710" s="3" t="str">
        <f>IF(I710="Billy Wilder", "Must Watch", IF(I710="John Ford", "Watch", "Maybe"))</f>
        <v>Maybe</v>
      </c>
    </row>
    <row r="711" spans="1:13" x14ac:dyDescent="0.25">
      <c r="A711">
        <v>710</v>
      </c>
      <c r="B711" t="s">
        <v>1995</v>
      </c>
      <c r="C711">
        <v>-1971</v>
      </c>
      <c r="D711" t="s">
        <v>49</v>
      </c>
      <c r="E711" t="s">
        <v>613</v>
      </c>
      <c r="F711" t="s">
        <v>1996</v>
      </c>
      <c r="G711">
        <v>7.8</v>
      </c>
      <c r="H711">
        <v>67</v>
      </c>
      <c r="I711" t="s">
        <v>1997</v>
      </c>
      <c r="J711" s="3">
        <v>198006</v>
      </c>
      <c r="K711" t="s">
        <v>1998</v>
      </c>
      <c r="M711" s="3" t="str">
        <f>IF(I711="Billy Wilder", "Must Watch", IF(I711="John Ford", "Watch", "Maybe"))</f>
        <v>Maybe</v>
      </c>
    </row>
    <row r="712" spans="1:13" x14ac:dyDescent="0.25">
      <c r="A712">
        <v>711</v>
      </c>
      <c r="B712" t="s">
        <v>1999</v>
      </c>
      <c r="C712">
        <v>-1969</v>
      </c>
      <c r="D712" t="s">
        <v>24</v>
      </c>
      <c r="E712" t="s">
        <v>325</v>
      </c>
      <c r="F712" t="s">
        <v>20</v>
      </c>
      <c r="G712">
        <v>7.8</v>
      </c>
      <c r="H712">
        <v>79</v>
      </c>
      <c r="I712" t="s">
        <v>2000</v>
      </c>
      <c r="J712" s="3">
        <v>110056</v>
      </c>
      <c r="K712" t="s">
        <v>2001</v>
      </c>
      <c r="M712" s="3" t="str">
        <f>IF(I712="Billy Wilder", "Must Watch", IF(I712="John Ford", "Watch", "Maybe"))</f>
        <v>Maybe</v>
      </c>
    </row>
    <row r="713" spans="1:13" x14ac:dyDescent="0.25">
      <c r="A713">
        <v>712</v>
      </c>
      <c r="B713" t="s">
        <v>2002</v>
      </c>
      <c r="C713">
        <v>-1968</v>
      </c>
      <c r="D713" t="s">
        <v>24</v>
      </c>
      <c r="E713" t="s">
        <v>50</v>
      </c>
      <c r="F713" t="s">
        <v>1979</v>
      </c>
      <c r="G713">
        <v>7.8</v>
      </c>
      <c r="H713">
        <v>89</v>
      </c>
      <c r="I713" t="s">
        <v>1980</v>
      </c>
      <c r="J713" s="3">
        <v>126545</v>
      </c>
      <c r="K713" t="s">
        <v>1648</v>
      </c>
      <c r="M713" s="3" t="str">
        <f>IF(I713="Billy Wilder", "Must Watch", IF(I713="John Ford", "Watch", "Maybe"))</f>
        <v>Maybe</v>
      </c>
    </row>
    <row r="714" spans="1:13" x14ac:dyDescent="0.25">
      <c r="A714">
        <v>713</v>
      </c>
      <c r="B714" t="s">
        <v>2003</v>
      </c>
      <c r="C714">
        <v>-1967</v>
      </c>
      <c r="D714" t="s">
        <v>49</v>
      </c>
      <c r="E714" t="s">
        <v>409</v>
      </c>
      <c r="F714" t="s">
        <v>304</v>
      </c>
      <c r="G714">
        <v>7.8</v>
      </c>
      <c r="H714">
        <v>63</v>
      </c>
      <c r="I714" t="s">
        <v>470</v>
      </c>
      <c r="J714" s="3">
        <v>44964</v>
      </c>
      <c r="K714" t="s">
        <v>2004</v>
      </c>
      <c r="M714" s="3" t="str">
        <f>IF(I714="Billy Wilder", "Must Watch", IF(I714="John Ford", "Watch", "Maybe"))</f>
        <v>Maybe</v>
      </c>
    </row>
    <row r="715" spans="1:13" x14ac:dyDescent="0.25">
      <c r="A715">
        <v>714</v>
      </c>
      <c r="B715" t="s">
        <v>2005</v>
      </c>
      <c r="C715">
        <v>-1964</v>
      </c>
      <c r="D715" t="s">
        <v>155</v>
      </c>
      <c r="E715" t="s">
        <v>658</v>
      </c>
      <c r="F715" t="s">
        <v>2006</v>
      </c>
      <c r="G715">
        <v>7.8</v>
      </c>
      <c r="H715">
        <v>86</v>
      </c>
      <c r="I715" t="s">
        <v>2007</v>
      </c>
      <c r="J715" s="3">
        <v>27337</v>
      </c>
      <c r="K715" t="s">
        <v>502</v>
      </c>
      <c r="M715" s="3" t="str">
        <f>IF(I715="Billy Wilder", "Must Watch", IF(I715="John Ford", "Watch", "Maybe"))</f>
        <v>Maybe</v>
      </c>
    </row>
    <row r="716" spans="1:13" x14ac:dyDescent="0.25">
      <c r="A716">
        <v>715</v>
      </c>
      <c r="B716" t="s">
        <v>2008</v>
      </c>
      <c r="C716">
        <v>-1964</v>
      </c>
      <c r="D716" t="s">
        <v>49</v>
      </c>
      <c r="E716" t="s">
        <v>303</v>
      </c>
      <c r="F716" t="s">
        <v>1314</v>
      </c>
      <c r="G716">
        <v>7.8</v>
      </c>
      <c r="H716">
        <v>95</v>
      </c>
      <c r="I716" t="s">
        <v>1686</v>
      </c>
      <c r="J716" s="3">
        <v>94818</v>
      </c>
      <c r="K716" t="s">
        <v>2009</v>
      </c>
      <c r="M716" s="3" t="str">
        <f>IF(I716="Billy Wilder", "Must Watch", IF(I716="John Ford", "Watch", "Maybe"))</f>
        <v>Maybe</v>
      </c>
    </row>
    <row r="717" spans="1:13" x14ac:dyDescent="0.25">
      <c r="A717">
        <v>716</v>
      </c>
      <c r="B717" t="s">
        <v>2010</v>
      </c>
      <c r="C717">
        <v>-1964</v>
      </c>
      <c r="D717" t="s">
        <v>49</v>
      </c>
      <c r="E717" t="s">
        <v>70</v>
      </c>
      <c r="F717" t="s">
        <v>2011</v>
      </c>
      <c r="G717">
        <v>7.8</v>
      </c>
      <c r="H717">
        <v>88</v>
      </c>
      <c r="I717" t="s">
        <v>2012</v>
      </c>
      <c r="J717" s="3">
        <v>170231</v>
      </c>
      <c r="K717" t="s">
        <v>2013</v>
      </c>
      <c r="M717" s="3" t="str">
        <f>IF(I717="Billy Wilder", "Must Watch", IF(I717="John Ford", "Watch", "Maybe"))</f>
        <v>Maybe</v>
      </c>
    </row>
    <row r="718" spans="1:13" x14ac:dyDescent="0.25">
      <c r="A718">
        <v>717</v>
      </c>
      <c r="B718" t="s">
        <v>2014</v>
      </c>
      <c r="C718">
        <v>-1961</v>
      </c>
      <c r="D718" t="s">
        <v>24</v>
      </c>
      <c r="E718" t="s">
        <v>613</v>
      </c>
      <c r="F718" t="s">
        <v>982</v>
      </c>
      <c r="G718">
        <v>7.8</v>
      </c>
      <c r="H718">
        <v>88</v>
      </c>
      <c r="I718" t="s">
        <v>2015</v>
      </c>
      <c r="J718" s="3">
        <v>30108</v>
      </c>
      <c r="K718" t="s">
        <v>2016</v>
      </c>
      <c r="M718" s="3" t="str">
        <f>IF(I718="Billy Wilder", "Must Watch", IF(I718="John Ford", "Watch", "Maybe"))</f>
        <v>Maybe</v>
      </c>
    </row>
    <row r="719" spans="1:13" x14ac:dyDescent="0.25">
      <c r="A719">
        <v>718</v>
      </c>
      <c r="B719" t="s">
        <v>2017</v>
      </c>
      <c r="C719">
        <v>-1960</v>
      </c>
      <c r="D719" t="s">
        <v>24</v>
      </c>
      <c r="E719" t="s">
        <v>1072</v>
      </c>
      <c r="F719" t="s">
        <v>557</v>
      </c>
      <c r="G719">
        <v>7.8</v>
      </c>
      <c r="I719" t="s">
        <v>2018</v>
      </c>
      <c r="J719" s="3">
        <v>29541</v>
      </c>
      <c r="M719" s="3" t="str">
        <f>IF(I719="Billy Wilder", "Must Watch", IF(I719="John Ford", "Watch", "Maybe"))</f>
        <v>Maybe</v>
      </c>
    </row>
    <row r="720" spans="1:13" x14ac:dyDescent="0.25">
      <c r="A720">
        <v>719</v>
      </c>
      <c r="B720" t="s">
        <v>2019</v>
      </c>
      <c r="C720">
        <v>-1955</v>
      </c>
      <c r="D720" t="s">
        <v>155</v>
      </c>
      <c r="E720" t="s">
        <v>143</v>
      </c>
      <c r="F720" t="s">
        <v>20</v>
      </c>
      <c r="G720">
        <v>7.8</v>
      </c>
      <c r="H720">
        <v>72</v>
      </c>
      <c r="I720" t="s">
        <v>1020</v>
      </c>
      <c r="J720" s="3">
        <v>45199</v>
      </c>
      <c r="M720" s="3" t="str">
        <f>IF(I720="Billy Wilder", "Must Watch", IF(I720="John Ford", "Watch", "Maybe"))</f>
        <v>Maybe</v>
      </c>
    </row>
    <row r="721" spans="1:13" x14ac:dyDescent="0.25">
      <c r="A721">
        <v>720</v>
      </c>
      <c r="B721" t="s">
        <v>2020</v>
      </c>
      <c r="C721">
        <v>-1951</v>
      </c>
      <c r="D721" t="s">
        <v>49</v>
      </c>
      <c r="E721" t="s">
        <v>827</v>
      </c>
      <c r="F721" t="s">
        <v>504</v>
      </c>
      <c r="G721">
        <v>7.8</v>
      </c>
      <c r="I721" t="s">
        <v>993</v>
      </c>
      <c r="J721" s="3">
        <v>81360</v>
      </c>
      <c r="M721" s="3" t="str">
        <f>IF(I721="Billy Wilder", "Must Watch", IF(I721="John Ford", "Watch", "Maybe"))</f>
        <v>Maybe</v>
      </c>
    </row>
    <row r="722" spans="1:13" x14ac:dyDescent="0.25">
      <c r="A722">
        <v>721</v>
      </c>
      <c r="B722" t="s">
        <v>2021</v>
      </c>
      <c r="C722">
        <v>-1950</v>
      </c>
      <c r="D722" t="s">
        <v>74</v>
      </c>
      <c r="E722" t="s">
        <v>176</v>
      </c>
      <c r="F722" t="s">
        <v>494</v>
      </c>
      <c r="G722">
        <v>7.8</v>
      </c>
      <c r="H722">
        <v>85</v>
      </c>
      <c r="I722" t="s">
        <v>698</v>
      </c>
      <c r="J722" s="3">
        <v>26869</v>
      </c>
      <c r="M722" s="3" t="str">
        <f>IF(I722="Billy Wilder", "Must Watch", IF(I722="John Ford", "Watch", "Maybe"))</f>
        <v>Maybe</v>
      </c>
    </row>
    <row r="723" spans="1:13" x14ac:dyDescent="0.25">
      <c r="A723">
        <v>722</v>
      </c>
      <c r="B723" t="s">
        <v>2022</v>
      </c>
      <c r="C723">
        <v>-1948</v>
      </c>
      <c r="D723" t="s">
        <v>49</v>
      </c>
      <c r="E723" t="s">
        <v>104</v>
      </c>
      <c r="F723" t="s">
        <v>296</v>
      </c>
      <c r="G723">
        <v>7.8</v>
      </c>
      <c r="I723" t="s">
        <v>1348</v>
      </c>
      <c r="J723" s="3">
        <v>31015</v>
      </c>
      <c r="M723" s="3" t="str">
        <f>IF(I723="Billy Wilder", "Must Watch", IF(I723="John Ford", "Watch", "Maybe"))</f>
        <v>Maybe</v>
      </c>
    </row>
    <row r="724" spans="1:13" x14ac:dyDescent="0.25">
      <c r="A724">
        <v>723</v>
      </c>
      <c r="B724" t="s">
        <v>2023</v>
      </c>
      <c r="C724">
        <v>-1944</v>
      </c>
      <c r="D724" t="s">
        <v>74</v>
      </c>
      <c r="E724" t="s">
        <v>613</v>
      </c>
      <c r="F724" t="s">
        <v>2024</v>
      </c>
      <c r="G724">
        <v>7.8</v>
      </c>
      <c r="H724">
        <v>90</v>
      </c>
      <c r="I724" t="s">
        <v>1348</v>
      </c>
      <c r="J724" s="3">
        <v>34423</v>
      </c>
      <c r="M724" s="3" t="str">
        <f>IF(I724="Billy Wilder", "Must Watch", IF(I724="John Ford", "Watch", "Maybe"))</f>
        <v>Maybe</v>
      </c>
    </row>
    <row r="725" spans="1:13" x14ac:dyDescent="0.25">
      <c r="A725">
        <v>724</v>
      </c>
      <c r="B725" t="s">
        <v>2025</v>
      </c>
      <c r="C725">
        <v>-1944</v>
      </c>
      <c r="D725" t="s">
        <v>155</v>
      </c>
      <c r="E725" t="s">
        <v>655</v>
      </c>
      <c r="F725" t="s">
        <v>56</v>
      </c>
      <c r="G725">
        <v>7.8</v>
      </c>
      <c r="I725" t="s">
        <v>1686</v>
      </c>
      <c r="J725" s="3">
        <v>28489</v>
      </c>
      <c r="M725" s="3" t="str">
        <f>IF(I725="Billy Wilder", "Must Watch", IF(I725="John Ford", "Watch", "Maybe"))</f>
        <v>Maybe</v>
      </c>
    </row>
    <row r="726" spans="1:13" x14ac:dyDescent="0.25">
      <c r="A726">
        <v>725</v>
      </c>
      <c r="B726" t="s">
        <v>2026</v>
      </c>
      <c r="C726">
        <v>-1943</v>
      </c>
      <c r="D726" t="s">
        <v>155</v>
      </c>
      <c r="E726" t="s">
        <v>409</v>
      </c>
      <c r="F726" t="s">
        <v>2027</v>
      </c>
      <c r="G726">
        <v>7.8</v>
      </c>
      <c r="H726">
        <v>94</v>
      </c>
      <c r="I726" t="s">
        <v>243</v>
      </c>
      <c r="J726" s="3">
        <v>64919</v>
      </c>
      <c r="M726" s="3" t="str">
        <f>IF(I726="Billy Wilder", "Must Watch", IF(I726="John Ford", "Watch", "Maybe"))</f>
        <v>Maybe</v>
      </c>
    </row>
    <row r="727" spans="1:13" x14ac:dyDescent="0.25">
      <c r="A727">
        <v>726</v>
      </c>
      <c r="B727" t="s">
        <v>2028</v>
      </c>
      <c r="C727">
        <v>-1940</v>
      </c>
      <c r="D727" t="s">
        <v>155</v>
      </c>
      <c r="E727" t="s">
        <v>827</v>
      </c>
      <c r="F727" t="s">
        <v>132</v>
      </c>
      <c r="G727">
        <v>7.8</v>
      </c>
      <c r="I727" t="s">
        <v>1348</v>
      </c>
      <c r="J727" s="3">
        <v>58208</v>
      </c>
      <c r="K727" t="s">
        <v>869</v>
      </c>
      <c r="M727" s="3" t="str">
        <f>IF(I727="Billy Wilder", "Must Watch", IF(I727="John Ford", "Watch", "Maybe"))</f>
        <v>Maybe</v>
      </c>
    </row>
    <row r="728" spans="1:13" x14ac:dyDescent="0.25">
      <c r="A728">
        <v>727</v>
      </c>
      <c r="B728" t="s">
        <v>2029</v>
      </c>
      <c r="C728">
        <v>-1939</v>
      </c>
      <c r="D728" t="s">
        <v>49</v>
      </c>
      <c r="E728" t="s">
        <v>50</v>
      </c>
      <c r="F728" t="s">
        <v>697</v>
      </c>
      <c r="G728">
        <v>7.8</v>
      </c>
      <c r="H728">
        <v>93</v>
      </c>
      <c r="I728" t="s">
        <v>998</v>
      </c>
      <c r="J728" s="3">
        <v>48534</v>
      </c>
      <c r="M728" s="3" t="str">
        <f>IF(I728="Billy Wilder", "Must Watch", IF(I728="John Ford", "Watch", "Maybe"))</f>
        <v>Watch</v>
      </c>
    </row>
    <row r="729" spans="1:13" x14ac:dyDescent="0.25">
      <c r="A729">
        <v>728</v>
      </c>
      <c r="B729" t="s">
        <v>2030</v>
      </c>
      <c r="C729">
        <v>-1938</v>
      </c>
      <c r="D729" t="s">
        <v>49</v>
      </c>
      <c r="E729" t="s">
        <v>263</v>
      </c>
      <c r="F729" t="s">
        <v>132</v>
      </c>
      <c r="G729">
        <v>7.8</v>
      </c>
      <c r="I729" t="s">
        <v>161</v>
      </c>
      <c r="J729" s="3">
        <v>25690</v>
      </c>
      <c r="K729" t="s">
        <v>2031</v>
      </c>
      <c r="M729" s="3" t="str">
        <f>IF(I729="Billy Wilder", "Must Watch", IF(I729="John Ford", "Watch", "Maybe"))</f>
        <v>Maybe</v>
      </c>
    </row>
    <row r="730" spans="1:13" x14ac:dyDescent="0.25">
      <c r="A730">
        <v>729</v>
      </c>
      <c r="B730" t="s">
        <v>2032</v>
      </c>
      <c r="C730">
        <v>-1938</v>
      </c>
      <c r="D730" t="s">
        <v>155</v>
      </c>
      <c r="E730" t="s">
        <v>50</v>
      </c>
      <c r="F730" t="s">
        <v>246</v>
      </c>
      <c r="G730">
        <v>7.8</v>
      </c>
      <c r="H730">
        <v>98</v>
      </c>
      <c r="I730" t="s">
        <v>243</v>
      </c>
      <c r="J730" s="3">
        <v>52179</v>
      </c>
      <c r="M730" s="3" t="str">
        <f>IF(I730="Billy Wilder", "Must Watch", IF(I730="John Ford", "Watch", "Maybe"))</f>
        <v>Maybe</v>
      </c>
    </row>
    <row r="731" spans="1:13" x14ac:dyDescent="0.25">
      <c r="A731">
        <v>730</v>
      </c>
      <c r="B731" t="s">
        <v>2033</v>
      </c>
      <c r="C731">
        <v>-1938</v>
      </c>
      <c r="E731" t="s">
        <v>249</v>
      </c>
      <c r="F731" t="s">
        <v>1287</v>
      </c>
      <c r="G731">
        <v>7.8</v>
      </c>
      <c r="H731">
        <v>91</v>
      </c>
      <c r="I731" t="s">
        <v>1348</v>
      </c>
      <c r="J731" s="3">
        <v>61077</v>
      </c>
      <c r="M731" s="3" t="str">
        <f>IF(I731="Billy Wilder", "Must Watch", IF(I731="John Ford", "Watch", "Maybe"))</f>
        <v>Maybe</v>
      </c>
    </row>
    <row r="732" spans="1:13" x14ac:dyDescent="0.25">
      <c r="A732">
        <v>731</v>
      </c>
      <c r="B732" t="s">
        <v>2034</v>
      </c>
      <c r="C732">
        <v>-1935</v>
      </c>
      <c r="D732" t="s">
        <v>49</v>
      </c>
      <c r="E732" t="s">
        <v>50</v>
      </c>
      <c r="F732" t="s">
        <v>2035</v>
      </c>
      <c r="G732">
        <v>7.8</v>
      </c>
      <c r="I732" t="s">
        <v>2036</v>
      </c>
      <c r="J732" s="3">
        <v>32782</v>
      </c>
      <c r="K732" t="s">
        <v>2037</v>
      </c>
      <c r="M732" s="3" t="str">
        <f>IF(I732="Billy Wilder", "Must Watch", IF(I732="John Ford", "Watch", "Maybe"))</f>
        <v>Maybe</v>
      </c>
    </row>
    <row r="733" spans="1:13" x14ac:dyDescent="0.25">
      <c r="A733">
        <v>732</v>
      </c>
      <c r="B733" t="s">
        <v>2038</v>
      </c>
      <c r="C733">
        <v>-1935</v>
      </c>
      <c r="D733" t="s">
        <v>155</v>
      </c>
      <c r="E733" t="s">
        <v>1381</v>
      </c>
      <c r="F733" t="s">
        <v>2039</v>
      </c>
      <c r="G733">
        <v>7.8</v>
      </c>
      <c r="H733">
        <v>95</v>
      </c>
      <c r="I733" t="s">
        <v>2040</v>
      </c>
      <c r="J733" s="3">
        <v>47707</v>
      </c>
      <c r="K733" t="s">
        <v>52</v>
      </c>
      <c r="M733" s="3" t="str">
        <f>IF(I733="Billy Wilder", "Must Watch", IF(I733="John Ford", "Watch", "Maybe"))</f>
        <v>Maybe</v>
      </c>
    </row>
    <row r="734" spans="1:13" x14ac:dyDescent="0.25">
      <c r="A734">
        <v>733</v>
      </c>
      <c r="B734" t="s">
        <v>2041</v>
      </c>
      <c r="C734">
        <v>-1933</v>
      </c>
      <c r="D734" t="s">
        <v>49</v>
      </c>
      <c r="E734" t="s">
        <v>2042</v>
      </c>
      <c r="F734" t="s">
        <v>2043</v>
      </c>
      <c r="G734">
        <v>7.8</v>
      </c>
      <c r="H734">
        <v>93</v>
      </c>
      <c r="I734" t="s">
        <v>2044</v>
      </c>
      <c r="J734" s="3">
        <v>59875</v>
      </c>
      <c r="M734" s="3" t="str">
        <f>IF(I734="Billy Wilder", "Must Watch", IF(I734="John Ford", "Watch", "Maybe"))</f>
        <v>Maybe</v>
      </c>
    </row>
    <row r="735" spans="1:13" x14ac:dyDescent="0.25">
      <c r="A735">
        <v>734</v>
      </c>
      <c r="B735" t="s">
        <v>2045</v>
      </c>
      <c r="C735">
        <v>-1931</v>
      </c>
      <c r="D735" t="s">
        <v>74</v>
      </c>
      <c r="E735" t="s">
        <v>2046</v>
      </c>
      <c r="F735" t="s">
        <v>2039</v>
      </c>
      <c r="G735">
        <v>7.8</v>
      </c>
      <c r="H735">
        <v>91</v>
      </c>
      <c r="I735" t="s">
        <v>2040</v>
      </c>
      <c r="J735" s="3">
        <v>71415</v>
      </c>
      <c r="M735" s="3" t="str">
        <f>IF(I735="Billy Wilder", "Must Watch", IF(I735="John Ford", "Watch", "Maybe"))</f>
        <v>Maybe</v>
      </c>
    </row>
    <row r="736" spans="1:13" x14ac:dyDescent="0.25">
      <c r="A736">
        <v>735</v>
      </c>
      <c r="B736" t="s">
        <v>2047</v>
      </c>
      <c r="C736">
        <v>-2018</v>
      </c>
      <c r="D736">
        <v>15</v>
      </c>
      <c r="E736" t="s">
        <v>309</v>
      </c>
      <c r="F736" t="s">
        <v>20</v>
      </c>
      <c r="G736">
        <v>7.7</v>
      </c>
      <c r="H736">
        <v>96</v>
      </c>
      <c r="I736" t="s">
        <v>1511</v>
      </c>
      <c r="J736" s="3">
        <v>155549</v>
      </c>
      <c r="M736" s="3" t="str">
        <f>IF(I736="Billy Wilder", "Must Watch", IF(I736="John Ford", "Watch", "Maybe"))</f>
        <v>Maybe</v>
      </c>
    </row>
    <row r="737" spans="1:13" x14ac:dyDescent="0.25">
      <c r="A737">
        <v>736</v>
      </c>
      <c r="B737" t="s">
        <v>2048</v>
      </c>
      <c r="C737">
        <v>-2018</v>
      </c>
      <c r="D737">
        <v>15</v>
      </c>
      <c r="E737" t="s">
        <v>202</v>
      </c>
      <c r="F737" t="s">
        <v>371</v>
      </c>
      <c r="G737">
        <v>7.7</v>
      </c>
      <c r="H737">
        <v>66</v>
      </c>
      <c r="I737" t="s">
        <v>2049</v>
      </c>
      <c r="J737" s="3">
        <v>559462</v>
      </c>
      <c r="K737" t="s">
        <v>2050</v>
      </c>
      <c r="M737" s="3" t="str">
        <f>IF(I737="Billy Wilder", "Must Watch", IF(I737="John Ford", "Watch", "Maybe"))</f>
        <v>Maybe</v>
      </c>
    </row>
    <row r="738" spans="1:13" x14ac:dyDescent="0.25">
      <c r="A738">
        <v>737</v>
      </c>
      <c r="B738" t="s">
        <v>2051</v>
      </c>
      <c r="C738">
        <v>-2019</v>
      </c>
      <c r="D738">
        <v>15</v>
      </c>
      <c r="E738" t="s">
        <v>811</v>
      </c>
      <c r="F738" t="s">
        <v>172</v>
      </c>
      <c r="G738">
        <v>7.7</v>
      </c>
      <c r="H738">
        <v>82</v>
      </c>
      <c r="I738" t="s">
        <v>2052</v>
      </c>
      <c r="J738" s="3">
        <v>120732</v>
      </c>
      <c r="M738" s="3" t="str">
        <f>IF(I738="Billy Wilder", "Must Watch", IF(I738="John Ford", "Watch", "Maybe"))</f>
        <v>Maybe</v>
      </c>
    </row>
    <row r="739" spans="1:13" x14ac:dyDescent="0.25">
      <c r="A739">
        <v>738</v>
      </c>
      <c r="B739" t="s">
        <v>2053</v>
      </c>
      <c r="C739">
        <v>-2017</v>
      </c>
      <c r="D739">
        <v>15</v>
      </c>
      <c r="E739" t="s">
        <v>493</v>
      </c>
      <c r="F739" t="s">
        <v>56</v>
      </c>
      <c r="G739">
        <v>7.7</v>
      </c>
      <c r="H739">
        <v>73</v>
      </c>
      <c r="I739" t="s">
        <v>2054</v>
      </c>
      <c r="J739" s="3">
        <v>245344</v>
      </c>
      <c r="K739" t="s">
        <v>2055</v>
      </c>
      <c r="M739" s="3" t="str">
        <f>IF(I739="Billy Wilder", "Must Watch", IF(I739="John Ford", "Watch", "Maybe"))</f>
        <v>Maybe</v>
      </c>
    </row>
    <row r="740" spans="1:13" x14ac:dyDescent="0.25">
      <c r="A740">
        <v>739</v>
      </c>
      <c r="B740" t="s">
        <v>2056</v>
      </c>
      <c r="C740">
        <v>-2016</v>
      </c>
      <c r="D740">
        <v>12</v>
      </c>
      <c r="E740" t="s">
        <v>99</v>
      </c>
      <c r="F740" t="s">
        <v>20</v>
      </c>
      <c r="G740">
        <v>7.7</v>
      </c>
      <c r="H740">
        <v>85</v>
      </c>
      <c r="I740" t="s">
        <v>385</v>
      </c>
      <c r="J740" s="3">
        <v>60009</v>
      </c>
      <c r="K740" t="s">
        <v>2057</v>
      </c>
      <c r="M740" s="3" t="str">
        <f>IF(I740="Billy Wilder", "Must Watch", IF(I740="John Ford", "Watch", "Maybe"))</f>
        <v>Maybe</v>
      </c>
    </row>
    <row r="741" spans="1:13" x14ac:dyDescent="0.25">
      <c r="A741">
        <v>740</v>
      </c>
      <c r="B741" t="s">
        <v>2058</v>
      </c>
      <c r="C741" t="s">
        <v>290</v>
      </c>
      <c r="D741">
        <v>15</v>
      </c>
      <c r="E741" t="s">
        <v>418</v>
      </c>
      <c r="F741" t="s">
        <v>242</v>
      </c>
      <c r="G741">
        <v>7.7</v>
      </c>
      <c r="H741">
        <v>85</v>
      </c>
      <c r="I741" t="s">
        <v>2059</v>
      </c>
      <c r="J741" s="3">
        <v>566365</v>
      </c>
      <c r="K741" t="s">
        <v>2060</v>
      </c>
      <c r="M741" s="3" t="str">
        <f>IF(I741="Billy Wilder", "Must Watch", IF(I741="John Ford", "Watch", "Maybe"))</f>
        <v>Maybe</v>
      </c>
    </row>
    <row r="742" spans="1:13" x14ac:dyDescent="0.25">
      <c r="A742">
        <v>741</v>
      </c>
      <c r="B742" t="s">
        <v>2061</v>
      </c>
      <c r="C742">
        <v>-2018</v>
      </c>
      <c r="D742" t="s">
        <v>30</v>
      </c>
      <c r="E742" t="s">
        <v>228</v>
      </c>
      <c r="F742" t="s">
        <v>1171</v>
      </c>
      <c r="G742">
        <v>7.7</v>
      </c>
      <c r="H742">
        <v>86</v>
      </c>
      <c r="I742" t="s">
        <v>2062</v>
      </c>
      <c r="J742" s="3">
        <v>324688</v>
      </c>
      <c r="K742" t="s">
        <v>2063</v>
      </c>
      <c r="M742" s="3" t="str">
        <f>IF(I742="Billy Wilder", "Must Watch", IF(I742="John Ford", "Watch", "Maybe"))</f>
        <v>Maybe</v>
      </c>
    </row>
    <row r="743" spans="1:13" x14ac:dyDescent="0.25">
      <c r="A743">
        <v>742</v>
      </c>
      <c r="B743" t="s">
        <v>2064</v>
      </c>
      <c r="C743">
        <v>-2016</v>
      </c>
      <c r="E743" t="s">
        <v>50</v>
      </c>
      <c r="F743" t="s">
        <v>304</v>
      </c>
      <c r="G743">
        <v>7.7</v>
      </c>
      <c r="I743" t="s">
        <v>2065</v>
      </c>
      <c r="J743" s="3">
        <v>64462</v>
      </c>
      <c r="M743" s="3" t="str">
        <f>IF(I743="Billy Wilder", "Must Watch", IF(I743="John Ford", "Watch", "Maybe"))</f>
        <v>Maybe</v>
      </c>
    </row>
    <row r="744" spans="1:13" x14ac:dyDescent="0.25">
      <c r="A744">
        <v>743</v>
      </c>
      <c r="B744" t="s">
        <v>2066</v>
      </c>
      <c r="C744">
        <v>-2016</v>
      </c>
      <c r="D744">
        <v>15</v>
      </c>
      <c r="E744" t="s">
        <v>63</v>
      </c>
      <c r="F744" t="s">
        <v>32</v>
      </c>
      <c r="G744">
        <v>7.7</v>
      </c>
      <c r="I744" t="s">
        <v>2067</v>
      </c>
      <c r="J744" s="3">
        <v>30232</v>
      </c>
      <c r="M744" s="3" t="str">
        <f>IF(I744="Billy Wilder", "Must Watch", IF(I744="John Ford", "Watch", "Maybe"))</f>
        <v>Maybe</v>
      </c>
    </row>
    <row r="745" spans="1:13" x14ac:dyDescent="0.25">
      <c r="A745">
        <v>744</v>
      </c>
      <c r="B745" t="s">
        <v>2068</v>
      </c>
      <c r="C745">
        <v>-2016</v>
      </c>
      <c r="D745" t="s">
        <v>74</v>
      </c>
      <c r="E745" t="s">
        <v>321</v>
      </c>
      <c r="F745" t="s">
        <v>279</v>
      </c>
      <c r="G745">
        <v>7.7</v>
      </c>
      <c r="H745">
        <v>84</v>
      </c>
      <c r="I745" t="s">
        <v>2069</v>
      </c>
      <c r="J745" s="3">
        <v>127742</v>
      </c>
      <c r="K745" t="s">
        <v>2070</v>
      </c>
      <c r="M745" s="3" t="str">
        <f>IF(I745="Billy Wilder", "Must Watch", IF(I745="John Ford", "Watch", "Maybe"))</f>
        <v>Maybe</v>
      </c>
    </row>
    <row r="746" spans="1:13" x14ac:dyDescent="0.25">
      <c r="A746">
        <v>745</v>
      </c>
      <c r="B746" t="s">
        <v>2071</v>
      </c>
      <c r="C746">
        <v>-2015</v>
      </c>
      <c r="D746">
        <v>15</v>
      </c>
      <c r="E746" t="s">
        <v>131</v>
      </c>
      <c r="F746" t="s">
        <v>132</v>
      </c>
      <c r="G746">
        <v>7.7</v>
      </c>
      <c r="H746">
        <v>70</v>
      </c>
      <c r="I746" t="s">
        <v>2072</v>
      </c>
      <c r="J746" s="3">
        <v>54149</v>
      </c>
      <c r="K746" t="s">
        <v>2073</v>
      </c>
      <c r="M746" s="3" t="str">
        <f>IF(I746="Billy Wilder", "Must Watch", IF(I746="John Ford", "Watch", "Maybe"))</f>
        <v>Maybe</v>
      </c>
    </row>
    <row r="747" spans="1:13" x14ac:dyDescent="0.25">
      <c r="A747">
        <v>746</v>
      </c>
      <c r="B747" t="s">
        <v>2074</v>
      </c>
      <c r="C747">
        <v>-2014</v>
      </c>
      <c r="D747" t="s">
        <v>49</v>
      </c>
      <c r="E747" t="s">
        <v>403</v>
      </c>
      <c r="F747" t="s">
        <v>779</v>
      </c>
      <c r="G747">
        <v>7.7</v>
      </c>
      <c r="H747">
        <v>72</v>
      </c>
      <c r="I747" t="s">
        <v>2075</v>
      </c>
      <c r="J747" s="3">
        <v>39662</v>
      </c>
      <c r="K747" t="s">
        <v>2076</v>
      </c>
      <c r="M747" s="3" t="str">
        <f>IF(I747="Billy Wilder", "Must Watch", IF(I747="John Ford", "Watch", "Maybe"))</f>
        <v>Maybe</v>
      </c>
    </row>
    <row r="748" spans="1:13" x14ac:dyDescent="0.25">
      <c r="A748">
        <v>747</v>
      </c>
      <c r="B748" t="s">
        <v>2077</v>
      </c>
      <c r="C748">
        <v>-2014</v>
      </c>
      <c r="D748" t="s">
        <v>30</v>
      </c>
      <c r="E748" t="s">
        <v>384</v>
      </c>
      <c r="F748" t="s">
        <v>1184</v>
      </c>
      <c r="G748">
        <v>7.7</v>
      </c>
      <c r="H748">
        <v>71</v>
      </c>
      <c r="I748" t="s">
        <v>2078</v>
      </c>
      <c r="J748" s="3">
        <v>442680</v>
      </c>
      <c r="K748" t="s">
        <v>2079</v>
      </c>
      <c r="M748" s="3" t="str">
        <f>IF(I748="Billy Wilder", "Must Watch", IF(I748="John Ford", "Watch", "Maybe"))</f>
        <v>Maybe</v>
      </c>
    </row>
    <row r="749" spans="1:13" x14ac:dyDescent="0.25">
      <c r="A749">
        <v>748</v>
      </c>
      <c r="B749" t="s">
        <v>2080</v>
      </c>
      <c r="C749">
        <v>-2014</v>
      </c>
      <c r="D749">
        <v>15</v>
      </c>
      <c r="E749" t="s">
        <v>452</v>
      </c>
      <c r="F749" t="s">
        <v>371</v>
      </c>
      <c r="G749">
        <v>7.7</v>
      </c>
      <c r="H749">
        <v>60</v>
      </c>
      <c r="I749" t="s">
        <v>2081</v>
      </c>
      <c r="J749" s="3">
        <v>655599</v>
      </c>
      <c r="K749" t="s">
        <v>2082</v>
      </c>
      <c r="M749" s="3" t="str">
        <f>IF(I749="Billy Wilder", "Must Watch", IF(I749="John Ford", "Watch", "Maybe"))</f>
        <v>Maybe</v>
      </c>
    </row>
    <row r="750" spans="1:13" x14ac:dyDescent="0.25">
      <c r="A750">
        <v>749</v>
      </c>
      <c r="B750" t="s">
        <v>2083</v>
      </c>
      <c r="C750">
        <v>-2014</v>
      </c>
      <c r="D750" t="s">
        <v>30</v>
      </c>
      <c r="E750" t="s">
        <v>263</v>
      </c>
      <c r="F750" t="s">
        <v>78</v>
      </c>
      <c r="G750">
        <v>7.7</v>
      </c>
      <c r="H750">
        <v>69</v>
      </c>
      <c r="I750" t="s">
        <v>2084</v>
      </c>
      <c r="J750" s="3">
        <v>370751</v>
      </c>
      <c r="K750" t="s">
        <v>2085</v>
      </c>
      <c r="M750" s="3" t="str">
        <f>IF(I750="Billy Wilder", "Must Watch", IF(I750="John Ford", "Watch", "Maybe"))</f>
        <v>Maybe</v>
      </c>
    </row>
    <row r="751" spans="1:13" x14ac:dyDescent="0.25">
      <c r="A751">
        <v>750</v>
      </c>
      <c r="B751" t="s">
        <v>2086</v>
      </c>
      <c r="C751">
        <v>-2015</v>
      </c>
      <c r="D751" t="s">
        <v>30</v>
      </c>
      <c r="E751" t="s">
        <v>291</v>
      </c>
      <c r="F751" t="s">
        <v>304</v>
      </c>
      <c r="G751">
        <v>7.7</v>
      </c>
      <c r="H751">
        <v>74</v>
      </c>
      <c r="I751" t="s">
        <v>2087</v>
      </c>
      <c r="J751" s="3">
        <v>130663</v>
      </c>
      <c r="K751" t="s">
        <v>1087</v>
      </c>
      <c r="M751" s="3" t="str">
        <f>IF(I751="Billy Wilder", "Must Watch", IF(I751="John Ford", "Watch", "Maybe"))</f>
        <v>Maybe</v>
      </c>
    </row>
    <row r="752" spans="1:13" x14ac:dyDescent="0.25">
      <c r="A752">
        <v>751</v>
      </c>
      <c r="B752" t="s">
        <v>2088</v>
      </c>
      <c r="C752">
        <v>-2014</v>
      </c>
      <c r="D752">
        <v>15</v>
      </c>
      <c r="E752" t="s">
        <v>202</v>
      </c>
      <c r="F752" t="s">
        <v>304</v>
      </c>
      <c r="G752">
        <v>7.7</v>
      </c>
      <c r="H752">
        <v>87</v>
      </c>
      <c r="I752" t="s">
        <v>875</v>
      </c>
      <c r="J752" s="3">
        <v>620596</v>
      </c>
      <c r="K752" t="s">
        <v>2089</v>
      </c>
      <c r="M752" s="3" t="str">
        <f>IF(I752="Billy Wilder", "Must Watch", IF(I752="John Ford", "Watch", "Maybe"))</f>
        <v>Maybe</v>
      </c>
    </row>
    <row r="753" spans="1:13" x14ac:dyDescent="0.25">
      <c r="A753">
        <v>752</v>
      </c>
      <c r="B753" t="s">
        <v>2090</v>
      </c>
      <c r="C753">
        <v>-2013</v>
      </c>
      <c r="D753" t="s">
        <v>30</v>
      </c>
      <c r="E753" t="s">
        <v>108</v>
      </c>
      <c r="F753" t="s">
        <v>389</v>
      </c>
      <c r="G753">
        <v>7.7</v>
      </c>
      <c r="H753">
        <v>85</v>
      </c>
      <c r="I753" t="s">
        <v>385</v>
      </c>
      <c r="J753" s="3">
        <v>48729</v>
      </c>
      <c r="K753" t="s">
        <v>2091</v>
      </c>
      <c r="M753" s="3" t="str">
        <f>IF(I753="Billy Wilder", "Must Watch", IF(I753="John Ford", "Watch", "Maybe"))</f>
        <v>Maybe</v>
      </c>
    </row>
    <row r="754" spans="1:13" x14ac:dyDescent="0.25">
      <c r="A754">
        <v>753</v>
      </c>
      <c r="B754" t="s">
        <v>2092</v>
      </c>
      <c r="C754">
        <v>-2013</v>
      </c>
      <c r="D754">
        <v>15</v>
      </c>
      <c r="E754" t="s">
        <v>163</v>
      </c>
      <c r="F754" t="s">
        <v>20</v>
      </c>
      <c r="G754">
        <v>7.7</v>
      </c>
      <c r="H754">
        <v>86</v>
      </c>
      <c r="I754" t="s">
        <v>2093</v>
      </c>
      <c r="J754" s="3">
        <v>89769</v>
      </c>
      <c r="K754" t="s">
        <v>2094</v>
      </c>
      <c r="M754" s="3" t="str">
        <f>IF(I754="Billy Wilder", "Must Watch", IF(I754="John Ford", "Watch", "Maybe"))</f>
        <v>Maybe</v>
      </c>
    </row>
    <row r="755" spans="1:13" x14ac:dyDescent="0.25">
      <c r="A755">
        <v>754</v>
      </c>
      <c r="B755" t="s">
        <v>2095</v>
      </c>
      <c r="C755">
        <v>-2013</v>
      </c>
      <c r="D755">
        <v>18</v>
      </c>
      <c r="E755" t="s">
        <v>579</v>
      </c>
      <c r="F755" t="s">
        <v>78</v>
      </c>
      <c r="G755">
        <v>7.7</v>
      </c>
      <c r="H755">
        <v>89</v>
      </c>
      <c r="I755" t="s">
        <v>2096</v>
      </c>
      <c r="J755" s="3">
        <v>150350</v>
      </c>
      <c r="K755" t="s">
        <v>840</v>
      </c>
      <c r="M755" s="3" t="str">
        <f>IF(I755="Billy Wilder", "Must Watch", IF(I755="John Ford", "Watch", "Maybe"))</f>
        <v>Maybe</v>
      </c>
    </row>
    <row r="756" spans="1:13" x14ac:dyDescent="0.25">
      <c r="A756">
        <v>755</v>
      </c>
      <c r="B756" t="s">
        <v>2097</v>
      </c>
      <c r="C756">
        <v>-2012</v>
      </c>
      <c r="D756">
        <v>15</v>
      </c>
      <c r="E756" t="s">
        <v>610</v>
      </c>
      <c r="F756" t="s">
        <v>921</v>
      </c>
      <c r="G756">
        <v>7.7</v>
      </c>
      <c r="H756">
        <v>70</v>
      </c>
      <c r="I756" t="s">
        <v>2098</v>
      </c>
      <c r="J756" s="3">
        <v>41075</v>
      </c>
      <c r="K756" t="s">
        <v>1299</v>
      </c>
      <c r="M756" s="3" t="str">
        <f>IF(I756="Billy Wilder", "Must Watch", IF(I756="John Ford", "Watch", "Maybe"))</f>
        <v>Maybe</v>
      </c>
    </row>
    <row r="757" spans="1:13" x14ac:dyDescent="0.25">
      <c r="A757">
        <v>756</v>
      </c>
      <c r="B757" t="s">
        <v>2099</v>
      </c>
      <c r="C757">
        <v>-2013</v>
      </c>
      <c r="D757" t="s">
        <v>74</v>
      </c>
      <c r="E757" t="s">
        <v>263</v>
      </c>
      <c r="F757" t="s">
        <v>1141</v>
      </c>
      <c r="G757">
        <v>7.7</v>
      </c>
      <c r="H757">
        <v>83</v>
      </c>
      <c r="I757" t="s">
        <v>121</v>
      </c>
      <c r="J757" s="3">
        <v>84020</v>
      </c>
      <c r="K757" t="s">
        <v>2100</v>
      </c>
      <c r="M757" s="3" t="str">
        <f>IF(I757="Billy Wilder", "Must Watch", IF(I757="John Ford", "Watch", "Maybe"))</f>
        <v>Maybe</v>
      </c>
    </row>
    <row r="758" spans="1:13" x14ac:dyDescent="0.25">
      <c r="A758">
        <v>757</v>
      </c>
      <c r="B758" t="s">
        <v>2101</v>
      </c>
      <c r="C758">
        <v>-2019</v>
      </c>
      <c r="D758" t="s">
        <v>49</v>
      </c>
      <c r="E758" t="s">
        <v>613</v>
      </c>
      <c r="F758" t="s">
        <v>292</v>
      </c>
      <c r="G758">
        <v>7.7</v>
      </c>
      <c r="H758">
        <v>84</v>
      </c>
      <c r="I758" t="s">
        <v>2102</v>
      </c>
      <c r="J758" s="3">
        <v>241422</v>
      </c>
      <c r="K758" t="s">
        <v>2103</v>
      </c>
      <c r="M758" s="3" t="str">
        <f>IF(I758="Billy Wilder", "Must Watch", IF(I758="John Ford", "Watch", "Maybe"))</f>
        <v>Maybe</v>
      </c>
    </row>
    <row r="759" spans="1:13" x14ac:dyDescent="0.25">
      <c r="A759">
        <v>758</v>
      </c>
      <c r="B759" t="s">
        <v>2104</v>
      </c>
      <c r="C759">
        <v>-2013</v>
      </c>
      <c r="D759">
        <v>15</v>
      </c>
      <c r="E759" t="s">
        <v>342</v>
      </c>
      <c r="F759" t="s">
        <v>714</v>
      </c>
      <c r="G759">
        <v>7.7</v>
      </c>
      <c r="H759">
        <v>87</v>
      </c>
      <c r="I759" t="s">
        <v>2105</v>
      </c>
      <c r="J759" s="3">
        <v>117664</v>
      </c>
      <c r="K759" t="s">
        <v>2106</v>
      </c>
      <c r="M759" s="3" t="str">
        <f>IF(I759="Billy Wilder", "Must Watch", IF(I759="John Ford", "Watch", "Maybe"))</f>
        <v>Maybe</v>
      </c>
    </row>
    <row r="760" spans="1:13" x14ac:dyDescent="0.25">
      <c r="A760">
        <v>759</v>
      </c>
      <c r="B760" t="s">
        <v>2107</v>
      </c>
      <c r="C760">
        <v>-2012</v>
      </c>
      <c r="D760" t="s">
        <v>74</v>
      </c>
      <c r="E760" t="s">
        <v>321</v>
      </c>
      <c r="F760" t="s">
        <v>292</v>
      </c>
      <c r="G760">
        <v>7.7</v>
      </c>
      <c r="H760">
        <v>72</v>
      </c>
      <c r="I760" t="s">
        <v>2108</v>
      </c>
      <c r="J760" s="3">
        <v>414385</v>
      </c>
      <c r="K760" t="s">
        <v>2109</v>
      </c>
      <c r="M760" s="3" t="str">
        <f>IF(I760="Billy Wilder", "Must Watch", IF(I760="John Ford", "Watch", "Maybe"))</f>
        <v>Maybe</v>
      </c>
    </row>
    <row r="761" spans="1:13" x14ac:dyDescent="0.25">
      <c r="A761">
        <v>760</v>
      </c>
      <c r="B761" t="s">
        <v>2110</v>
      </c>
      <c r="C761">
        <v>-2015</v>
      </c>
      <c r="D761" t="s">
        <v>74</v>
      </c>
      <c r="E761" t="s">
        <v>409</v>
      </c>
      <c r="F761" t="s">
        <v>214</v>
      </c>
      <c r="G761">
        <v>7.7</v>
      </c>
      <c r="H761">
        <v>70</v>
      </c>
      <c r="I761" t="s">
        <v>2111</v>
      </c>
      <c r="J761" s="3">
        <v>61585</v>
      </c>
      <c r="K761" t="s">
        <v>2112</v>
      </c>
      <c r="M761" s="3" t="str">
        <f>IF(I761="Billy Wilder", "Must Watch", IF(I761="John Ford", "Watch", "Maybe"))</f>
        <v>Maybe</v>
      </c>
    </row>
    <row r="762" spans="1:13" x14ac:dyDescent="0.25">
      <c r="A762">
        <v>761</v>
      </c>
      <c r="B762" t="s">
        <v>2113</v>
      </c>
      <c r="C762">
        <v>-2011</v>
      </c>
      <c r="D762">
        <v>15</v>
      </c>
      <c r="E762" t="s">
        <v>313</v>
      </c>
      <c r="F762" t="s">
        <v>20</v>
      </c>
      <c r="G762">
        <v>7.7</v>
      </c>
      <c r="H762">
        <v>52</v>
      </c>
      <c r="I762" t="s">
        <v>203</v>
      </c>
      <c r="J762" s="3">
        <v>84494</v>
      </c>
      <c r="K762" t="s">
        <v>691</v>
      </c>
      <c r="M762" s="3" t="str">
        <f>IF(I762="Billy Wilder", "Must Watch", IF(I762="John Ford", "Watch", "Maybe"))</f>
        <v>Maybe</v>
      </c>
    </row>
    <row r="763" spans="1:13" x14ac:dyDescent="0.25">
      <c r="A763">
        <v>762</v>
      </c>
      <c r="B763" t="s">
        <v>2114</v>
      </c>
      <c r="C763">
        <v>-2011</v>
      </c>
      <c r="D763" t="s">
        <v>30</v>
      </c>
      <c r="E763" t="s">
        <v>1057</v>
      </c>
      <c r="F763" t="s">
        <v>2115</v>
      </c>
      <c r="G763">
        <v>7.7</v>
      </c>
      <c r="H763">
        <v>81</v>
      </c>
      <c r="I763" t="s">
        <v>1294</v>
      </c>
      <c r="J763" s="3">
        <v>418527</v>
      </c>
      <c r="K763" t="s">
        <v>2116</v>
      </c>
      <c r="M763" s="3" t="str">
        <f>IF(I763="Billy Wilder", "Must Watch", IF(I763="John Ford", "Watch", "Maybe"))</f>
        <v>Maybe</v>
      </c>
    </row>
    <row r="764" spans="1:13" x14ac:dyDescent="0.25">
      <c r="A764">
        <v>763</v>
      </c>
      <c r="B764" t="s">
        <v>2117</v>
      </c>
      <c r="C764">
        <v>-2010</v>
      </c>
      <c r="D764">
        <v>15</v>
      </c>
      <c r="E764" t="s">
        <v>171</v>
      </c>
      <c r="F764" t="s">
        <v>756</v>
      </c>
      <c r="G764">
        <v>7.7</v>
      </c>
      <c r="I764" t="s">
        <v>2118</v>
      </c>
      <c r="J764" s="3">
        <v>38883</v>
      </c>
      <c r="M764" s="3" t="str">
        <f>IF(I764="Billy Wilder", "Must Watch", IF(I764="John Ford", "Watch", "Maybe"))</f>
        <v>Maybe</v>
      </c>
    </row>
    <row r="765" spans="1:13" x14ac:dyDescent="0.25">
      <c r="A765">
        <v>764</v>
      </c>
      <c r="B765" t="s">
        <v>2119</v>
      </c>
      <c r="C765">
        <v>-2010</v>
      </c>
      <c r="D765">
        <v>18</v>
      </c>
      <c r="E765" t="s">
        <v>202</v>
      </c>
      <c r="F765" t="s">
        <v>32</v>
      </c>
      <c r="G765">
        <v>7.7</v>
      </c>
      <c r="I765" t="s">
        <v>2120</v>
      </c>
      <c r="J765" s="3">
        <v>68909</v>
      </c>
      <c r="K765" t="s">
        <v>684</v>
      </c>
      <c r="M765" s="3" t="str">
        <f>IF(I765="Billy Wilder", "Must Watch", IF(I765="John Ford", "Watch", "Maybe"))</f>
        <v>Maybe</v>
      </c>
    </row>
    <row r="766" spans="1:13" x14ac:dyDescent="0.25">
      <c r="A766">
        <v>765</v>
      </c>
      <c r="B766" t="s">
        <v>2121</v>
      </c>
      <c r="C766">
        <v>-2014</v>
      </c>
      <c r="D766" t="s">
        <v>49</v>
      </c>
      <c r="E766" t="s">
        <v>613</v>
      </c>
      <c r="F766" t="s">
        <v>279</v>
      </c>
      <c r="G766">
        <v>7.7</v>
      </c>
      <c r="H766">
        <v>83</v>
      </c>
      <c r="I766" t="s">
        <v>2122</v>
      </c>
      <c r="J766" s="3">
        <v>348889</v>
      </c>
      <c r="K766" t="s">
        <v>2123</v>
      </c>
      <c r="M766" s="3" t="str">
        <f>IF(I766="Billy Wilder", "Must Watch", IF(I766="John Ford", "Watch", "Maybe"))</f>
        <v>Maybe</v>
      </c>
    </row>
    <row r="767" spans="1:13" x14ac:dyDescent="0.25">
      <c r="A767">
        <v>766</v>
      </c>
      <c r="B767" t="s">
        <v>2124</v>
      </c>
      <c r="C767">
        <v>-2013</v>
      </c>
      <c r="D767" t="s">
        <v>30</v>
      </c>
      <c r="E767" t="s">
        <v>658</v>
      </c>
      <c r="F767" t="s">
        <v>595</v>
      </c>
      <c r="G767">
        <v>7.7</v>
      </c>
      <c r="H767">
        <v>96</v>
      </c>
      <c r="I767" t="s">
        <v>1511</v>
      </c>
      <c r="J767" s="3">
        <v>814554</v>
      </c>
      <c r="K767" t="s">
        <v>2125</v>
      </c>
      <c r="M767" s="3" t="str">
        <f>IF(I767="Billy Wilder", "Must Watch", IF(I767="John Ford", "Watch", "Maybe"))</f>
        <v>Maybe</v>
      </c>
    </row>
    <row r="768" spans="1:13" x14ac:dyDescent="0.25">
      <c r="A768">
        <v>767</v>
      </c>
      <c r="B768" t="s">
        <v>2126</v>
      </c>
      <c r="C768">
        <v>-2013</v>
      </c>
      <c r="D768" t="s">
        <v>30</v>
      </c>
      <c r="E768" t="s">
        <v>166</v>
      </c>
      <c r="F768" t="s">
        <v>64</v>
      </c>
      <c r="G768">
        <v>7.7</v>
      </c>
      <c r="H768">
        <v>72</v>
      </c>
      <c r="I768" t="s">
        <v>1474</v>
      </c>
      <c r="J768" s="3">
        <v>480575</v>
      </c>
      <c r="K768" t="s">
        <v>2127</v>
      </c>
      <c r="M768" s="3" t="str">
        <f>IF(I768="Billy Wilder", "Must Watch", IF(I768="John Ford", "Watch", "Maybe"))</f>
        <v>Maybe</v>
      </c>
    </row>
    <row r="769" spans="1:13" x14ac:dyDescent="0.25">
      <c r="A769">
        <v>768</v>
      </c>
      <c r="B769" t="s">
        <v>2128</v>
      </c>
      <c r="C769">
        <v>-2015</v>
      </c>
      <c r="D769">
        <v>15</v>
      </c>
      <c r="E769" t="s">
        <v>139</v>
      </c>
      <c r="F769" t="s">
        <v>124</v>
      </c>
      <c r="G769">
        <v>7.7</v>
      </c>
      <c r="H769">
        <v>79</v>
      </c>
      <c r="I769" t="s">
        <v>2129</v>
      </c>
      <c r="J769" s="3">
        <v>80651</v>
      </c>
      <c r="K769" t="s">
        <v>667</v>
      </c>
      <c r="M769" s="3" t="str">
        <f>IF(I769="Billy Wilder", "Must Watch", IF(I769="John Ford", "Watch", "Maybe"))</f>
        <v>Maybe</v>
      </c>
    </row>
    <row r="770" spans="1:13" x14ac:dyDescent="0.25">
      <c r="A770">
        <v>769</v>
      </c>
      <c r="B770" t="s">
        <v>2130</v>
      </c>
      <c r="C770">
        <v>-2011</v>
      </c>
      <c r="D770" t="s">
        <v>30</v>
      </c>
      <c r="E770" t="s">
        <v>388</v>
      </c>
      <c r="F770" t="s">
        <v>64</v>
      </c>
      <c r="G770">
        <v>7.7</v>
      </c>
      <c r="H770">
        <v>65</v>
      </c>
      <c r="I770" t="s">
        <v>2081</v>
      </c>
      <c r="J770" s="3">
        <v>683337</v>
      </c>
      <c r="K770" t="s">
        <v>2131</v>
      </c>
      <c r="M770" s="3" t="str">
        <f>IF(I770="Billy Wilder", "Must Watch", IF(I770="John Ford", "Watch", "Maybe"))</f>
        <v>Maybe</v>
      </c>
    </row>
    <row r="771" spans="1:13" x14ac:dyDescent="0.25">
      <c r="A771">
        <v>770</v>
      </c>
      <c r="B771" t="s">
        <v>2132</v>
      </c>
      <c r="C771">
        <v>-2009</v>
      </c>
      <c r="D771">
        <v>15</v>
      </c>
      <c r="E771" t="s">
        <v>613</v>
      </c>
      <c r="F771" t="s">
        <v>1287</v>
      </c>
      <c r="G771">
        <v>7.7</v>
      </c>
      <c r="H771">
        <v>73</v>
      </c>
      <c r="I771" t="s">
        <v>269</v>
      </c>
      <c r="J771" s="3">
        <v>771132</v>
      </c>
      <c r="K771" t="s">
        <v>2133</v>
      </c>
      <c r="M771" s="3" t="str">
        <f>IF(I771="Billy Wilder", "Must Watch", IF(I771="John Ford", "Watch", "Maybe"))</f>
        <v>Maybe</v>
      </c>
    </row>
    <row r="772" spans="1:13" x14ac:dyDescent="0.25">
      <c r="A772">
        <v>771</v>
      </c>
      <c r="B772" t="s">
        <v>2134</v>
      </c>
      <c r="C772">
        <v>-2020</v>
      </c>
      <c r="D772">
        <v>15</v>
      </c>
      <c r="E772" t="s">
        <v>452</v>
      </c>
      <c r="F772" t="s">
        <v>1248</v>
      </c>
      <c r="G772">
        <v>7.7</v>
      </c>
      <c r="H772">
        <v>76</v>
      </c>
      <c r="I772" t="s">
        <v>2135</v>
      </c>
      <c r="J772" s="3">
        <v>172678</v>
      </c>
      <c r="M772" s="3" t="str">
        <f>IF(I772="Billy Wilder", "Must Watch", IF(I772="John Ford", "Watch", "Maybe"))</f>
        <v>Maybe</v>
      </c>
    </row>
    <row r="773" spans="1:13" x14ac:dyDescent="0.25">
      <c r="A773">
        <v>772</v>
      </c>
      <c r="B773" t="s">
        <v>2136</v>
      </c>
      <c r="C773">
        <v>-2012</v>
      </c>
      <c r="D773">
        <v>15</v>
      </c>
      <c r="E773" t="s">
        <v>268</v>
      </c>
      <c r="F773" t="s">
        <v>132</v>
      </c>
      <c r="G773">
        <v>7.7</v>
      </c>
      <c r="H773">
        <v>81</v>
      </c>
      <c r="I773" t="s">
        <v>1812</v>
      </c>
      <c r="J773" s="3">
        <v>701069</v>
      </c>
      <c r="K773" t="s">
        <v>2137</v>
      </c>
      <c r="M773" s="3" t="str">
        <f>IF(I773="Billy Wilder", "Must Watch", IF(I773="John Ford", "Watch", "Maybe"))</f>
        <v>Maybe</v>
      </c>
    </row>
    <row r="774" spans="1:13" x14ac:dyDescent="0.25">
      <c r="A774">
        <v>773</v>
      </c>
      <c r="B774" t="s">
        <v>2138</v>
      </c>
      <c r="C774">
        <v>-2020</v>
      </c>
      <c r="D774" t="s">
        <v>30</v>
      </c>
      <c r="E774" t="s">
        <v>232</v>
      </c>
      <c r="F774" t="s">
        <v>304</v>
      </c>
      <c r="G774">
        <v>7.7</v>
      </c>
      <c r="H774">
        <v>79</v>
      </c>
      <c r="I774" t="s">
        <v>381</v>
      </c>
      <c r="J774" s="3">
        <v>146224</v>
      </c>
      <c r="M774" s="3" t="str">
        <f>IF(I774="Billy Wilder", "Must Watch", IF(I774="John Ford", "Watch", "Maybe"))</f>
        <v>Maybe</v>
      </c>
    </row>
    <row r="775" spans="1:13" x14ac:dyDescent="0.25">
      <c r="A775">
        <v>774</v>
      </c>
      <c r="B775" t="s">
        <v>2139</v>
      </c>
      <c r="C775">
        <v>-2012</v>
      </c>
      <c r="D775">
        <v>15</v>
      </c>
      <c r="E775" t="s">
        <v>811</v>
      </c>
      <c r="F775" t="s">
        <v>1093</v>
      </c>
      <c r="G775">
        <v>7.7</v>
      </c>
      <c r="H775">
        <v>86</v>
      </c>
      <c r="I775" t="s">
        <v>2140</v>
      </c>
      <c r="J775" s="3">
        <v>607967</v>
      </c>
      <c r="K775" t="s">
        <v>2141</v>
      </c>
      <c r="M775" s="3" t="str">
        <f>IF(I775="Billy Wilder", "Must Watch", IF(I775="John Ford", "Watch", "Maybe"))</f>
        <v>Maybe</v>
      </c>
    </row>
    <row r="776" spans="1:13" x14ac:dyDescent="0.25">
      <c r="A776">
        <v>775</v>
      </c>
      <c r="B776" t="s">
        <v>2142</v>
      </c>
      <c r="C776">
        <v>-2009</v>
      </c>
      <c r="D776" t="s">
        <v>30</v>
      </c>
      <c r="E776" t="s">
        <v>356</v>
      </c>
      <c r="F776" t="s">
        <v>132</v>
      </c>
      <c r="G776">
        <v>7.7</v>
      </c>
      <c r="H776">
        <v>76</v>
      </c>
      <c r="I776" t="s">
        <v>2143</v>
      </c>
      <c r="J776" s="3">
        <v>505726</v>
      </c>
      <c r="K776" t="s">
        <v>2144</v>
      </c>
      <c r="M776" s="3" t="str">
        <f>IF(I776="Billy Wilder", "Must Watch", IF(I776="John Ford", "Watch", "Maybe"))</f>
        <v>Maybe</v>
      </c>
    </row>
    <row r="777" spans="1:13" x14ac:dyDescent="0.25">
      <c r="A777">
        <v>776</v>
      </c>
      <c r="B777" t="s">
        <v>2145</v>
      </c>
      <c r="C777">
        <v>-2010</v>
      </c>
      <c r="D777" t="s">
        <v>30</v>
      </c>
      <c r="E777" t="s">
        <v>349</v>
      </c>
      <c r="F777" t="s">
        <v>1044</v>
      </c>
      <c r="G777">
        <v>7.7</v>
      </c>
      <c r="H777">
        <v>65</v>
      </c>
      <c r="I777" t="s">
        <v>820</v>
      </c>
      <c r="J777" s="3">
        <v>535110</v>
      </c>
      <c r="K777" t="s">
        <v>2146</v>
      </c>
      <c r="M777" s="3" t="str">
        <f>IF(I777="Billy Wilder", "Must Watch", IF(I777="John Ford", "Watch", "Maybe"))</f>
        <v>Maybe</v>
      </c>
    </row>
    <row r="778" spans="1:13" x14ac:dyDescent="0.25">
      <c r="A778">
        <v>777</v>
      </c>
      <c r="B778" t="s">
        <v>2147</v>
      </c>
      <c r="C778">
        <v>-2008</v>
      </c>
      <c r="D778" t="s">
        <v>30</v>
      </c>
      <c r="E778" t="s">
        <v>1057</v>
      </c>
      <c r="F778" t="s">
        <v>124</v>
      </c>
      <c r="G778">
        <v>7.7</v>
      </c>
      <c r="H778">
        <v>55</v>
      </c>
      <c r="I778" t="s">
        <v>2148</v>
      </c>
      <c r="J778" s="3">
        <v>214510</v>
      </c>
      <c r="K778" t="s">
        <v>2149</v>
      </c>
      <c r="M778" s="3" t="str">
        <f>IF(I778="Billy Wilder", "Must Watch", IF(I778="John Ford", "Watch", "Maybe"))</f>
        <v>Maybe</v>
      </c>
    </row>
    <row r="779" spans="1:13" x14ac:dyDescent="0.25">
      <c r="A779">
        <v>778</v>
      </c>
      <c r="B779" t="s">
        <v>2150</v>
      </c>
      <c r="C779">
        <v>-2007</v>
      </c>
      <c r="D779">
        <v>18</v>
      </c>
      <c r="E779" t="s">
        <v>268</v>
      </c>
      <c r="F779" t="s">
        <v>20</v>
      </c>
      <c r="G779">
        <v>7.7</v>
      </c>
      <c r="H779">
        <v>85</v>
      </c>
      <c r="I779" t="s">
        <v>1507</v>
      </c>
      <c r="J779" s="3">
        <v>32040</v>
      </c>
      <c r="K779" t="s">
        <v>539</v>
      </c>
      <c r="M779" s="3" t="str">
        <f>IF(I779="Billy Wilder", "Must Watch", IF(I779="John Ford", "Watch", "Maybe"))</f>
        <v>Maybe</v>
      </c>
    </row>
    <row r="780" spans="1:13" x14ac:dyDescent="0.25">
      <c r="A780">
        <v>779</v>
      </c>
      <c r="B780" t="s">
        <v>2151</v>
      </c>
      <c r="C780">
        <v>-2008</v>
      </c>
      <c r="D780">
        <v>15</v>
      </c>
      <c r="E780" t="s">
        <v>268</v>
      </c>
      <c r="F780" t="s">
        <v>42</v>
      </c>
      <c r="G780">
        <v>7.7</v>
      </c>
      <c r="H780">
        <v>80</v>
      </c>
      <c r="I780" t="s">
        <v>607</v>
      </c>
      <c r="J780" s="3">
        <v>107749</v>
      </c>
      <c r="K780" t="s">
        <v>2152</v>
      </c>
      <c r="M780" s="3" t="str">
        <f>IF(I780="Billy Wilder", "Must Watch", IF(I780="John Ford", "Watch", "Maybe"))</f>
        <v>Maybe</v>
      </c>
    </row>
    <row r="781" spans="1:13" x14ac:dyDescent="0.25">
      <c r="A781">
        <v>780</v>
      </c>
      <c r="B781" t="s">
        <v>2153</v>
      </c>
      <c r="C781">
        <v>-2006</v>
      </c>
      <c r="D781">
        <v>15</v>
      </c>
      <c r="E781" t="s">
        <v>1244</v>
      </c>
      <c r="F781" t="s">
        <v>275</v>
      </c>
      <c r="G781">
        <v>7.7</v>
      </c>
      <c r="H781">
        <v>81</v>
      </c>
      <c r="I781" t="s">
        <v>1212</v>
      </c>
      <c r="J781" s="3">
        <v>81551</v>
      </c>
      <c r="K781" t="s">
        <v>2154</v>
      </c>
      <c r="M781" s="3" t="str">
        <f>IF(I781="Billy Wilder", "Must Watch", IF(I781="John Ford", "Watch", "Maybe"))</f>
        <v>Maybe</v>
      </c>
    </row>
    <row r="782" spans="1:13" x14ac:dyDescent="0.25">
      <c r="A782">
        <v>781</v>
      </c>
      <c r="B782" t="s">
        <v>2155</v>
      </c>
      <c r="C782" t="s">
        <v>1811</v>
      </c>
      <c r="D782" t="s">
        <v>74</v>
      </c>
      <c r="E782" t="s">
        <v>1244</v>
      </c>
      <c r="F782" t="s">
        <v>132</v>
      </c>
      <c r="G782">
        <v>7.7</v>
      </c>
      <c r="H782">
        <v>45</v>
      </c>
      <c r="I782" t="s">
        <v>935</v>
      </c>
      <c r="J782" s="3">
        <v>89233</v>
      </c>
      <c r="K782" t="s">
        <v>2156</v>
      </c>
      <c r="M782" s="3" t="str">
        <f>IF(I782="Billy Wilder", "Must Watch", IF(I782="John Ford", "Watch", "Maybe"))</f>
        <v>Maybe</v>
      </c>
    </row>
    <row r="783" spans="1:13" x14ac:dyDescent="0.25">
      <c r="A783">
        <v>782</v>
      </c>
      <c r="B783" t="s">
        <v>2157</v>
      </c>
      <c r="C783">
        <v>-2006</v>
      </c>
      <c r="D783" t="s">
        <v>30</v>
      </c>
      <c r="E783" t="s">
        <v>313</v>
      </c>
      <c r="F783" t="s">
        <v>292</v>
      </c>
      <c r="G783">
        <v>7.7</v>
      </c>
      <c r="I783" t="s">
        <v>780</v>
      </c>
      <c r="J783" s="3">
        <v>65606</v>
      </c>
      <c r="M783" s="3" t="str">
        <f>IF(I783="Billy Wilder", "Must Watch", IF(I783="John Ford", "Watch", "Maybe"))</f>
        <v>Maybe</v>
      </c>
    </row>
    <row r="784" spans="1:13" x14ac:dyDescent="0.25">
      <c r="A784">
        <v>783</v>
      </c>
      <c r="B784" t="s">
        <v>2158</v>
      </c>
      <c r="C784">
        <v>-2006</v>
      </c>
      <c r="D784">
        <v>18</v>
      </c>
      <c r="E784" t="s">
        <v>321</v>
      </c>
      <c r="F784" t="s">
        <v>26</v>
      </c>
      <c r="G784">
        <v>7.7</v>
      </c>
      <c r="H784">
        <v>86</v>
      </c>
      <c r="I784" t="s">
        <v>2159</v>
      </c>
      <c r="J784" s="3">
        <v>121681</v>
      </c>
      <c r="K784" t="s">
        <v>491</v>
      </c>
      <c r="M784" s="3" t="str">
        <f>IF(I784="Billy Wilder", "Must Watch", IF(I784="John Ford", "Watch", "Maybe"))</f>
        <v>Maybe</v>
      </c>
    </row>
    <row r="785" spans="1:13" x14ac:dyDescent="0.25">
      <c r="A785">
        <v>784</v>
      </c>
      <c r="B785" t="s">
        <v>2160</v>
      </c>
      <c r="C785">
        <v>-2014</v>
      </c>
      <c r="D785">
        <v>15</v>
      </c>
      <c r="E785" t="s">
        <v>409</v>
      </c>
      <c r="F785" t="s">
        <v>1900</v>
      </c>
      <c r="G785">
        <v>7.7</v>
      </c>
      <c r="H785">
        <v>78</v>
      </c>
      <c r="I785" t="s">
        <v>2161</v>
      </c>
      <c r="J785" s="3">
        <v>531677</v>
      </c>
      <c r="K785" t="s">
        <v>2162</v>
      </c>
      <c r="M785" s="3" t="str">
        <f>IF(I785="Billy Wilder", "Must Watch", IF(I785="John Ford", "Watch", "Maybe"))</f>
        <v>Maybe</v>
      </c>
    </row>
    <row r="786" spans="1:13" x14ac:dyDescent="0.25">
      <c r="A786">
        <v>785</v>
      </c>
      <c r="B786" t="s">
        <v>2163</v>
      </c>
      <c r="C786">
        <v>-2006</v>
      </c>
      <c r="D786">
        <v>15</v>
      </c>
      <c r="E786" t="s">
        <v>811</v>
      </c>
      <c r="F786" t="s">
        <v>20</v>
      </c>
      <c r="G786">
        <v>7.7</v>
      </c>
      <c r="H786">
        <v>78</v>
      </c>
      <c r="I786" t="s">
        <v>2164</v>
      </c>
      <c r="J786" s="3">
        <v>34572</v>
      </c>
      <c r="K786" t="s">
        <v>1465</v>
      </c>
      <c r="M786" s="3" t="str">
        <f>IF(I786="Billy Wilder", "Must Watch", IF(I786="John Ford", "Watch", "Maybe"))</f>
        <v>Maybe</v>
      </c>
    </row>
    <row r="787" spans="1:13" x14ac:dyDescent="0.25">
      <c r="A787">
        <v>786</v>
      </c>
      <c r="B787" t="s">
        <v>2165</v>
      </c>
      <c r="C787">
        <v>-2006</v>
      </c>
      <c r="D787">
        <v>15</v>
      </c>
      <c r="E787" t="s">
        <v>384</v>
      </c>
      <c r="F787" t="s">
        <v>42</v>
      </c>
      <c r="G787">
        <v>7.7</v>
      </c>
      <c r="H787">
        <v>74</v>
      </c>
      <c r="I787" t="s">
        <v>2166</v>
      </c>
      <c r="J787" s="3">
        <v>185094</v>
      </c>
      <c r="K787" t="s">
        <v>2167</v>
      </c>
      <c r="M787" s="3" t="str">
        <f>IF(I787="Billy Wilder", "Must Watch", IF(I787="John Ford", "Watch", "Maybe"))</f>
        <v>Maybe</v>
      </c>
    </row>
    <row r="788" spans="1:13" x14ac:dyDescent="0.25">
      <c r="A788">
        <v>787</v>
      </c>
      <c r="B788" t="s">
        <v>2168</v>
      </c>
      <c r="C788">
        <v>-2007</v>
      </c>
      <c r="D788">
        <v>15</v>
      </c>
      <c r="E788" t="s">
        <v>1772</v>
      </c>
      <c r="F788" t="s">
        <v>56</v>
      </c>
      <c r="G788">
        <v>7.7</v>
      </c>
      <c r="H788">
        <v>78</v>
      </c>
      <c r="I788" t="s">
        <v>71</v>
      </c>
      <c r="J788" s="3">
        <v>527916</v>
      </c>
      <c r="K788" t="s">
        <v>2169</v>
      </c>
      <c r="M788" s="3" t="str">
        <f>IF(I788="Billy Wilder", "Must Watch", IF(I788="John Ford", "Watch", "Maybe"))</f>
        <v>Maybe</v>
      </c>
    </row>
    <row r="789" spans="1:13" x14ac:dyDescent="0.25">
      <c r="A789">
        <v>788</v>
      </c>
      <c r="B789" t="s">
        <v>2170</v>
      </c>
      <c r="C789">
        <v>-2006</v>
      </c>
      <c r="D789">
        <v>18</v>
      </c>
      <c r="E789" t="s">
        <v>209</v>
      </c>
      <c r="F789" t="s">
        <v>144</v>
      </c>
      <c r="G789">
        <v>7.7</v>
      </c>
      <c r="H789">
        <v>53</v>
      </c>
      <c r="I789" t="s">
        <v>2171</v>
      </c>
      <c r="J789" s="3">
        <v>311366</v>
      </c>
      <c r="K789" t="s">
        <v>2172</v>
      </c>
      <c r="M789" s="3" t="str">
        <f>IF(I789="Billy Wilder", "Must Watch", IF(I789="John Ford", "Watch", "Maybe"))</f>
        <v>Maybe</v>
      </c>
    </row>
    <row r="790" spans="1:13" x14ac:dyDescent="0.25">
      <c r="A790">
        <v>789</v>
      </c>
      <c r="B790" t="s">
        <v>2173</v>
      </c>
      <c r="C790">
        <v>-2005</v>
      </c>
      <c r="D790" t="s">
        <v>30</v>
      </c>
      <c r="E790" t="s">
        <v>131</v>
      </c>
      <c r="F790" t="s">
        <v>2174</v>
      </c>
      <c r="G790">
        <v>7.7</v>
      </c>
      <c r="H790">
        <v>70</v>
      </c>
      <c r="I790" t="s">
        <v>2175</v>
      </c>
      <c r="J790" s="3">
        <v>29737</v>
      </c>
      <c r="K790" t="s">
        <v>2176</v>
      </c>
      <c r="M790" s="3" t="str">
        <f>IF(I790="Billy Wilder", "Must Watch", IF(I790="John Ford", "Watch", "Maybe"))</f>
        <v>Maybe</v>
      </c>
    </row>
    <row r="791" spans="1:13" x14ac:dyDescent="0.25">
      <c r="A791">
        <v>790</v>
      </c>
      <c r="B791" t="s">
        <v>2177</v>
      </c>
      <c r="C791">
        <v>-2007</v>
      </c>
      <c r="D791">
        <v>15</v>
      </c>
      <c r="E791" t="s">
        <v>268</v>
      </c>
      <c r="F791" t="s">
        <v>194</v>
      </c>
      <c r="G791">
        <v>7.7</v>
      </c>
      <c r="H791">
        <v>78</v>
      </c>
      <c r="I791" t="s">
        <v>2178</v>
      </c>
      <c r="J791" s="3">
        <v>65001</v>
      </c>
      <c r="K791" t="s">
        <v>2179</v>
      </c>
      <c r="M791" s="3" t="str">
        <f>IF(I791="Billy Wilder", "Must Watch", IF(I791="John Ford", "Watch", "Maybe"))</f>
        <v>Maybe</v>
      </c>
    </row>
    <row r="792" spans="1:13" x14ac:dyDescent="0.25">
      <c r="A792">
        <v>791</v>
      </c>
      <c r="B792" t="s">
        <v>2180</v>
      </c>
      <c r="C792">
        <v>-2005</v>
      </c>
      <c r="D792" t="s">
        <v>1166</v>
      </c>
      <c r="E792" t="s">
        <v>1057</v>
      </c>
      <c r="F792" t="s">
        <v>453</v>
      </c>
      <c r="G792">
        <v>7.7</v>
      </c>
      <c r="H792">
        <v>51</v>
      </c>
      <c r="I792" t="s">
        <v>2181</v>
      </c>
      <c r="J792" s="3">
        <v>50436</v>
      </c>
      <c r="K792" t="s">
        <v>1549</v>
      </c>
      <c r="M792" s="3" t="str">
        <f>IF(I792="Billy Wilder", "Must Watch", IF(I792="John Ford", "Watch", "Maybe"))</f>
        <v>Maybe</v>
      </c>
    </row>
    <row r="793" spans="1:13" x14ac:dyDescent="0.25">
      <c r="A793">
        <v>792</v>
      </c>
      <c r="B793" t="s">
        <v>2182</v>
      </c>
      <c r="C793">
        <v>-2010</v>
      </c>
      <c r="D793" t="s">
        <v>74</v>
      </c>
      <c r="E793" t="s">
        <v>613</v>
      </c>
      <c r="F793" t="s">
        <v>292</v>
      </c>
      <c r="G793">
        <v>7.7</v>
      </c>
      <c r="H793">
        <v>71</v>
      </c>
      <c r="I793" t="s">
        <v>2183</v>
      </c>
      <c r="J793" s="3">
        <v>443137</v>
      </c>
      <c r="K793" t="s">
        <v>2184</v>
      </c>
      <c r="M793" s="3" t="str">
        <f>IF(I793="Billy Wilder", "Must Watch", IF(I793="John Ford", "Watch", "Maybe"))</f>
        <v>Maybe</v>
      </c>
    </row>
    <row r="794" spans="1:13" x14ac:dyDescent="0.25">
      <c r="A794">
        <v>793</v>
      </c>
      <c r="B794" t="s">
        <v>2185</v>
      </c>
      <c r="C794">
        <v>-2006</v>
      </c>
      <c r="D794">
        <v>15</v>
      </c>
      <c r="E794" t="s">
        <v>94</v>
      </c>
      <c r="F794" t="s">
        <v>441</v>
      </c>
      <c r="G794">
        <v>7.7</v>
      </c>
      <c r="H794">
        <v>71</v>
      </c>
      <c r="I794" t="s">
        <v>2186</v>
      </c>
      <c r="J794" s="3">
        <v>76610</v>
      </c>
      <c r="K794" t="s">
        <v>2187</v>
      </c>
      <c r="M794" s="3" t="str">
        <f>IF(I794="Billy Wilder", "Must Watch", IF(I794="John Ford", "Watch", "Maybe"))</f>
        <v>Maybe</v>
      </c>
    </row>
    <row r="795" spans="1:13" x14ac:dyDescent="0.25">
      <c r="A795">
        <v>794</v>
      </c>
      <c r="B795" t="s">
        <v>2188</v>
      </c>
      <c r="C795">
        <v>-2005</v>
      </c>
      <c r="D795">
        <v>15</v>
      </c>
      <c r="E795" t="s">
        <v>331</v>
      </c>
      <c r="F795" t="s">
        <v>78</v>
      </c>
      <c r="G795">
        <v>7.7</v>
      </c>
      <c r="H795">
        <v>87</v>
      </c>
      <c r="I795" t="s">
        <v>1487</v>
      </c>
      <c r="J795" s="3">
        <v>352240</v>
      </c>
      <c r="K795" t="s">
        <v>2189</v>
      </c>
      <c r="M795" s="3" t="str">
        <f>IF(I795="Billy Wilder", "Must Watch", IF(I795="John Ford", "Watch", "Maybe"))</f>
        <v>Maybe</v>
      </c>
    </row>
    <row r="796" spans="1:13" x14ac:dyDescent="0.25">
      <c r="A796">
        <v>795</v>
      </c>
      <c r="B796" t="s">
        <v>2190</v>
      </c>
      <c r="C796">
        <v>-2007</v>
      </c>
      <c r="D796">
        <v>15</v>
      </c>
      <c r="E796" t="s">
        <v>268</v>
      </c>
      <c r="F796" t="s">
        <v>32</v>
      </c>
      <c r="G796">
        <v>7.7</v>
      </c>
      <c r="H796">
        <v>76</v>
      </c>
      <c r="I796" t="s">
        <v>753</v>
      </c>
      <c r="J796" s="3">
        <v>307732</v>
      </c>
      <c r="K796" t="s">
        <v>2191</v>
      </c>
      <c r="M796" s="3" t="str">
        <f>IF(I796="Billy Wilder", "Must Watch", IF(I796="John Ford", "Watch", "Maybe"))</f>
        <v>Maybe</v>
      </c>
    </row>
    <row r="797" spans="1:13" x14ac:dyDescent="0.25">
      <c r="A797">
        <v>796</v>
      </c>
      <c r="B797" t="s">
        <v>2192</v>
      </c>
      <c r="C797">
        <v>-2004</v>
      </c>
      <c r="D797">
        <v>15</v>
      </c>
      <c r="E797" t="s">
        <v>436</v>
      </c>
      <c r="F797" t="s">
        <v>1961</v>
      </c>
      <c r="G797">
        <v>7.7</v>
      </c>
      <c r="H797">
        <v>78</v>
      </c>
      <c r="I797" t="s">
        <v>2193</v>
      </c>
      <c r="J797" s="3">
        <v>137769</v>
      </c>
      <c r="K797" t="s">
        <v>2194</v>
      </c>
      <c r="M797" s="3" t="str">
        <f>IF(I797="Billy Wilder", "Must Watch", IF(I797="John Ford", "Watch", "Maybe"))</f>
        <v>Maybe</v>
      </c>
    </row>
    <row r="798" spans="1:13" x14ac:dyDescent="0.25">
      <c r="A798">
        <v>797</v>
      </c>
      <c r="B798" t="s">
        <v>2195</v>
      </c>
      <c r="C798">
        <v>-2004</v>
      </c>
      <c r="D798" t="s">
        <v>30</v>
      </c>
      <c r="E798" t="s">
        <v>409</v>
      </c>
      <c r="F798" t="s">
        <v>1153</v>
      </c>
      <c r="G798">
        <v>7.7</v>
      </c>
      <c r="H798">
        <v>73</v>
      </c>
      <c r="I798" t="s">
        <v>1154</v>
      </c>
      <c r="J798" s="3">
        <v>458841</v>
      </c>
      <c r="K798" t="s">
        <v>2196</v>
      </c>
      <c r="M798" s="3" t="str">
        <f>IF(I798="Billy Wilder", "Must Watch", IF(I798="John Ford", "Watch", "Maybe"))</f>
        <v>Maybe</v>
      </c>
    </row>
    <row r="799" spans="1:13" x14ac:dyDescent="0.25">
      <c r="A799">
        <v>798</v>
      </c>
      <c r="B799" t="s">
        <v>2197</v>
      </c>
      <c r="C799">
        <v>-2004</v>
      </c>
      <c r="D799">
        <v>15</v>
      </c>
      <c r="E799" t="s">
        <v>321</v>
      </c>
      <c r="F799" t="s">
        <v>756</v>
      </c>
      <c r="G799">
        <v>7.7</v>
      </c>
      <c r="H799">
        <v>61</v>
      </c>
      <c r="I799" t="s">
        <v>2198</v>
      </c>
      <c r="J799" s="3">
        <v>383930</v>
      </c>
      <c r="K799" t="s">
        <v>1091</v>
      </c>
      <c r="M799" s="3" t="str">
        <f>IF(I799="Billy Wilder", "Must Watch", IF(I799="John Ford", "Watch", "Maybe"))</f>
        <v>Maybe</v>
      </c>
    </row>
    <row r="800" spans="1:13" x14ac:dyDescent="0.25">
      <c r="A800">
        <v>799</v>
      </c>
      <c r="B800" t="s">
        <v>2199</v>
      </c>
      <c r="C800" t="s">
        <v>1180</v>
      </c>
      <c r="D800">
        <v>15</v>
      </c>
      <c r="E800" t="s">
        <v>31</v>
      </c>
      <c r="F800" t="s">
        <v>194</v>
      </c>
      <c r="G800">
        <v>7.7</v>
      </c>
      <c r="H800">
        <v>73</v>
      </c>
      <c r="I800" t="s">
        <v>1574</v>
      </c>
      <c r="J800" s="3">
        <v>146667</v>
      </c>
      <c r="K800" t="s">
        <v>2200</v>
      </c>
      <c r="M800" s="3" t="str">
        <f>IF(I800="Billy Wilder", "Must Watch", IF(I800="John Ford", "Watch", "Maybe"))</f>
        <v>Maybe</v>
      </c>
    </row>
    <row r="801" spans="1:13" x14ac:dyDescent="0.25">
      <c r="A801">
        <v>800</v>
      </c>
      <c r="B801" t="s">
        <v>2201</v>
      </c>
      <c r="C801">
        <v>-2003</v>
      </c>
      <c r="D801">
        <v>15</v>
      </c>
      <c r="E801" t="s">
        <v>325</v>
      </c>
      <c r="F801" t="s">
        <v>20</v>
      </c>
      <c r="G801">
        <v>7.7</v>
      </c>
      <c r="H801">
        <v>61</v>
      </c>
      <c r="I801" t="s">
        <v>2202</v>
      </c>
      <c r="J801" s="3">
        <v>38410</v>
      </c>
      <c r="K801" t="s">
        <v>258</v>
      </c>
      <c r="M801" s="3" t="str">
        <f>IF(I801="Billy Wilder", "Must Watch", IF(I801="John Ford", "Watch", "Maybe"))</f>
        <v>Maybe</v>
      </c>
    </row>
    <row r="802" spans="1:13" x14ac:dyDescent="0.25">
      <c r="A802">
        <v>801</v>
      </c>
      <c r="B802" t="s">
        <v>2203</v>
      </c>
      <c r="C802">
        <v>-2003</v>
      </c>
      <c r="D802">
        <v>15</v>
      </c>
      <c r="E802" t="s">
        <v>249</v>
      </c>
      <c r="F802" t="s">
        <v>304</v>
      </c>
      <c r="G802">
        <v>7.7</v>
      </c>
      <c r="H802">
        <v>89</v>
      </c>
      <c r="I802" t="s">
        <v>2204</v>
      </c>
      <c r="J802" s="3">
        <v>446835</v>
      </c>
      <c r="K802" t="s">
        <v>2205</v>
      </c>
      <c r="M802" s="3" t="str">
        <f>IF(I802="Billy Wilder", "Must Watch", IF(I802="John Ford", "Watch", "Maybe"))</f>
        <v>Maybe</v>
      </c>
    </row>
    <row r="803" spans="1:13" x14ac:dyDescent="0.25">
      <c r="A803">
        <v>802</v>
      </c>
      <c r="B803" t="s">
        <v>2206</v>
      </c>
      <c r="C803">
        <v>-2005</v>
      </c>
      <c r="D803" t="s">
        <v>30</v>
      </c>
      <c r="E803" t="s">
        <v>1772</v>
      </c>
      <c r="F803" t="s">
        <v>1044</v>
      </c>
      <c r="G803">
        <v>7.7</v>
      </c>
      <c r="H803">
        <v>81</v>
      </c>
      <c r="I803" t="s">
        <v>2207</v>
      </c>
      <c r="J803" s="3">
        <v>611437</v>
      </c>
      <c r="K803" t="s">
        <v>2208</v>
      </c>
      <c r="M803" s="3" t="str">
        <f>IF(I803="Billy Wilder", "Must Watch", IF(I803="John Ford", "Watch", "Maybe"))</f>
        <v>Maybe</v>
      </c>
    </row>
    <row r="804" spans="1:13" x14ac:dyDescent="0.25">
      <c r="A804">
        <v>803</v>
      </c>
      <c r="B804" t="s">
        <v>2209</v>
      </c>
      <c r="C804">
        <v>-2004</v>
      </c>
      <c r="D804">
        <v>18</v>
      </c>
      <c r="E804" t="s">
        <v>349</v>
      </c>
      <c r="F804" t="s">
        <v>32</v>
      </c>
      <c r="G804">
        <v>7.7</v>
      </c>
      <c r="H804">
        <v>47</v>
      </c>
      <c r="I804" t="s">
        <v>1562</v>
      </c>
      <c r="J804" s="3">
        <v>358240</v>
      </c>
      <c r="K804" t="s">
        <v>2210</v>
      </c>
      <c r="M804" s="3" t="str">
        <f>IF(I804="Billy Wilder", "Must Watch", IF(I804="John Ford", "Watch", "Maybe"))</f>
        <v>Maybe</v>
      </c>
    </row>
    <row r="805" spans="1:13" x14ac:dyDescent="0.25">
      <c r="A805">
        <v>804</v>
      </c>
      <c r="B805" t="s">
        <v>2211</v>
      </c>
      <c r="C805">
        <v>-2009</v>
      </c>
      <c r="D805" t="s">
        <v>74</v>
      </c>
      <c r="E805" t="s">
        <v>613</v>
      </c>
      <c r="F805" t="s">
        <v>779</v>
      </c>
      <c r="G805">
        <v>7.7</v>
      </c>
      <c r="H805">
        <v>80</v>
      </c>
      <c r="I805" t="s">
        <v>1569</v>
      </c>
      <c r="J805" s="3">
        <v>221379</v>
      </c>
      <c r="K805" t="s">
        <v>2212</v>
      </c>
      <c r="M805" s="3" t="str">
        <f>IF(I805="Billy Wilder", "Must Watch", IF(I805="John Ford", "Watch", "Maybe"))</f>
        <v>Maybe</v>
      </c>
    </row>
    <row r="806" spans="1:13" x14ac:dyDescent="0.25">
      <c r="A806">
        <v>805</v>
      </c>
      <c r="B806" t="s">
        <v>2213</v>
      </c>
      <c r="C806">
        <v>-2002</v>
      </c>
      <c r="D806">
        <v>15</v>
      </c>
      <c r="E806" t="s">
        <v>655</v>
      </c>
      <c r="F806" t="s">
        <v>20</v>
      </c>
      <c r="G806">
        <v>7.7</v>
      </c>
      <c r="H806">
        <v>83</v>
      </c>
      <c r="I806" t="s">
        <v>2214</v>
      </c>
      <c r="J806" s="3">
        <v>27190</v>
      </c>
      <c r="K806" t="s">
        <v>2215</v>
      </c>
      <c r="M806" s="3" t="str">
        <f>IF(I806="Billy Wilder", "Must Watch", IF(I806="John Ford", "Watch", "Maybe"))</f>
        <v>Maybe</v>
      </c>
    </row>
    <row r="807" spans="1:13" x14ac:dyDescent="0.25">
      <c r="A807">
        <v>806</v>
      </c>
      <c r="B807" t="s">
        <v>2216</v>
      </c>
      <c r="C807">
        <v>-2003</v>
      </c>
      <c r="D807">
        <v>15</v>
      </c>
      <c r="E807" t="s">
        <v>99</v>
      </c>
      <c r="F807" t="s">
        <v>144</v>
      </c>
      <c r="G807">
        <v>7.7</v>
      </c>
      <c r="H807">
        <v>70</v>
      </c>
      <c r="I807" t="s">
        <v>875</v>
      </c>
      <c r="J807" s="3">
        <v>235206</v>
      </c>
      <c r="K807" t="s">
        <v>2217</v>
      </c>
      <c r="M807" s="3" t="str">
        <f>IF(I807="Billy Wilder", "Must Watch", IF(I807="John Ford", "Watch", "Maybe"))</f>
        <v>Maybe</v>
      </c>
    </row>
    <row r="808" spans="1:13" x14ac:dyDescent="0.25">
      <c r="A808">
        <v>807</v>
      </c>
      <c r="B808" t="s">
        <v>2218</v>
      </c>
      <c r="C808">
        <v>-2004</v>
      </c>
      <c r="D808" t="s">
        <v>74</v>
      </c>
      <c r="E808" t="s">
        <v>171</v>
      </c>
      <c r="F808" t="s">
        <v>824</v>
      </c>
      <c r="G808">
        <v>7.7</v>
      </c>
      <c r="H808">
        <v>67</v>
      </c>
      <c r="I808" t="s">
        <v>2219</v>
      </c>
      <c r="J808" s="3">
        <v>205743</v>
      </c>
      <c r="K808" t="s">
        <v>2220</v>
      </c>
      <c r="M808" s="3" t="str">
        <f>IF(I808="Billy Wilder", "Must Watch", IF(I808="John Ford", "Watch", "Maybe"))</f>
        <v>Maybe</v>
      </c>
    </row>
    <row r="809" spans="1:13" x14ac:dyDescent="0.25">
      <c r="A809">
        <v>808</v>
      </c>
      <c r="B809" t="s">
        <v>2221</v>
      </c>
      <c r="C809">
        <v>-2003</v>
      </c>
      <c r="D809">
        <v>15</v>
      </c>
      <c r="E809" t="s">
        <v>148</v>
      </c>
      <c r="F809" t="s">
        <v>132</v>
      </c>
      <c r="G809">
        <v>7.7</v>
      </c>
      <c r="H809">
        <v>68</v>
      </c>
      <c r="I809" t="s">
        <v>2222</v>
      </c>
      <c r="J809" s="3">
        <v>145278</v>
      </c>
      <c r="K809" t="s">
        <v>2223</v>
      </c>
      <c r="M809" s="3" t="str">
        <f>IF(I809="Billy Wilder", "Must Watch", IF(I809="John Ford", "Watch", "Maybe"))</f>
        <v>Maybe</v>
      </c>
    </row>
    <row r="810" spans="1:13" x14ac:dyDescent="0.25">
      <c r="A810">
        <v>809</v>
      </c>
      <c r="B810" t="s">
        <v>2224</v>
      </c>
      <c r="C810">
        <v>-2002</v>
      </c>
      <c r="D810">
        <v>15</v>
      </c>
      <c r="E810" t="s">
        <v>291</v>
      </c>
      <c r="F810" t="s">
        <v>20</v>
      </c>
      <c r="G810">
        <v>7.7</v>
      </c>
      <c r="H810">
        <v>76</v>
      </c>
      <c r="I810" t="s">
        <v>914</v>
      </c>
      <c r="J810" s="3">
        <v>43010</v>
      </c>
      <c r="K810" t="s">
        <v>2225</v>
      </c>
      <c r="M810" s="3" t="str">
        <f>IF(I810="Billy Wilder", "Must Watch", IF(I810="John Ford", "Watch", "Maybe"))</f>
        <v>Maybe</v>
      </c>
    </row>
    <row r="811" spans="1:13" x14ac:dyDescent="0.25">
      <c r="A811">
        <v>810</v>
      </c>
      <c r="B811" t="s">
        <v>2226</v>
      </c>
      <c r="C811">
        <v>-2003</v>
      </c>
      <c r="D811">
        <v>12</v>
      </c>
      <c r="E811" t="s">
        <v>851</v>
      </c>
      <c r="F811" t="s">
        <v>828</v>
      </c>
      <c r="G811">
        <v>7.7</v>
      </c>
      <c r="H811">
        <v>91</v>
      </c>
      <c r="I811" t="s">
        <v>2227</v>
      </c>
      <c r="J811" s="3">
        <v>54279</v>
      </c>
      <c r="K811" t="s">
        <v>1792</v>
      </c>
      <c r="M811" s="3" t="str">
        <f>IF(I811="Billy Wilder", "Must Watch", IF(I811="John Ford", "Watch", "Maybe"))</f>
        <v>Maybe</v>
      </c>
    </row>
    <row r="812" spans="1:13" x14ac:dyDescent="0.25">
      <c r="A812">
        <v>811</v>
      </c>
      <c r="B812" t="s">
        <v>2228</v>
      </c>
      <c r="C812">
        <v>-2002</v>
      </c>
      <c r="D812">
        <v>15</v>
      </c>
      <c r="E812" t="s">
        <v>342</v>
      </c>
      <c r="F812" t="s">
        <v>304</v>
      </c>
      <c r="G812">
        <v>7.7</v>
      </c>
      <c r="H812">
        <v>83</v>
      </c>
      <c r="I812" t="s">
        <v>1104</v>
      </c>
      <c r="J812" s="3">
        <v>191094</v>
      </c>
      <c r="K812" t="s">
        <v>2229</v>
      </c>
      <c r="M812" s="3" t="str">
        <f>IF(I812="Billy Wilder", "Must Watch", IF(I812="John Ford", "Watch", "Maybe"))</f>
        <v>Maybe</v>
      </c>
    </row>
    <row r="813" spans="1:13" x14ac:dyDescent="0.25">
      <c r="A813">
        <v>812</v>
      </c>
      <c r="B813" t="s">
        <v>2230</v>
      </c>
      <c r="C813">
        <v>-2001</v>
      </c>
      <c r="D813">
        <v>15</v>
      </c>
      <c r="E813" t="s">
        <v>1072</v>
      </c>
      <c r="F813" t="s">
        <v>516</v>
      </c>
      <c r="G813">
        <v>7.7</v>
      </c>
      <c r="H813">
        <v>74</v>
      </c>
      <c r="I813" t="s">
        <v>199</v>
      </c>
      <c r="J813" s="3">
        <v>390934</v>
      </c>
      <c r="K813" t="s">
        <v>2231</v>
      </c>
      <c r="M813" s="3" t="str">
        <f>IF(I813="Billy Wilder", "Must Watch", IF(I813="John Ford", "Watch", "Maybe"))</f>
        <v>Maybe</v>
      </c>
    </row>
    <row r="814" spans="1:13" x14ac:dyDescent="0.25">
      <c r="A814">
        <v>813</v>
      </c>
      <c r="B814" t="s">
        <v>2232</v>
      </c>
      <c r="C814">
        <v>-2002</v>
      </c>
      <c r="D814">
        <v>15</v>
      </c>
      <c r="E814" t="s">
        <v>232</v>
      </c>
      <c r="F814" t="s">
        <v>144</v>
      </c>
      <c r="G814">
        <v>7.7</v>
      </c>
      <c r="H814">
        <v>72</v>
      </c>
      <c r="I814" t="s">
        <v>328</v>
      </c>
      <c r="J814" s="3">
        <v>264797</v>
      </c>
      <c r="K814" t="s">
        <v>2233</v>
      </c>
      <c r="M814" s="3" t="str">
        <f>IF(I814="Billy Wilder", "Must Watch", IF(I814="John Ford", "Watch", "Maybe"))</f>
        <v>Maybe</v>
      </c>
    </row>
    <row r="815" spans="1:13" x14ac:dyDescent="0.25">
      <c r="A815">
        <v>814</v>
      </c>
      <c r="B815" t="s">
        <v>2234</v>
      </c>
      <c r="C815">
        <v>-2001</v>
      </c>
      <c r="D815">
        <v>18</v>
      </c>
      <c r="E815" t="s">
        <v>811</v>
      </c>
      <c r="F815" t="s">
        <v>756</v>
      </c>
      <c r="G815">
        <v>7.7</v>
      </c>
      <c r="H815">
        <v>60</v>
      </c>
      <c r="I815" t="s">
        <v>601</v>
      </c>
      <c r="J815" s="3">
        <v>93600</v>
      </c>
      <c r="K815" t="s">
        <v>764</v>
      </c>
      <c r="M815" s="3" t="str">
        <f>IF(I815="Billy Wilder", "Must Watch", IF(I815="John Ford", "Watch", "Maybe"))</f>
        <v>Maybe</v>
      </c>
    </row>
    <row r="816" spans="1:13" x14ac:dyDescent="0.25">
      <c r="A816">
        <v>815</v>
      </c>
      <c r="B816" t="s">
        <v>2235</v>
      </c>
      <c r="C816">
        <v>-2000</v>
      </c>
      <c r="D816">
        <v>15</v>
      </c>
      <c r="E816" t="s">
        <v>209</v>
      </c>
      <c r="F816" t="s">
        <v>172</v>
      </c>
      <c r="G816">
        <v>7.7</v>
      </c>
      <c r="H816">
        <v>74</v>
      </c>
      <c r="I816" t="s">
        <v>2236</v>
      </c>
      <c r="J816" s="3">
        <v>134128</v>
      </c>
      <c r="K816" t="s">
        <v>2237</v>
      </c>
      <c r="M816" s="3" t="str">
        <f>IF(I816="Billy Wilder", "Must Watch", IF(I816="John Ford", "Watch", "Maybe"))</f>
        <v>Maybe</v>
      </c>
    </row>
    <row r="817" spans="1:13" x14ac:dyDescent="0.25">
      <c r="A817">
        <v>816</v>
      </c>
      <c r="B817" t="s">
        <v>2238</v>
      </c>
      <c r="C817">
        <v>-2001</v>
      </c>
      <c r="D817">
        <v>15</v>
      </c>
      <c r="E817" t="s">
        <v>356</v>
      </c>
      <c r="F817" t="s">
        <v>1066</v>
      </c>
      <c r="G817">
        <v>7.7</v>
      </c>
      <c r="H817">
        <v>85</v>
      </c>
      <c r="I817" t="s">
        <v>2239</v>
      </c>
      <c r="J817" s="3">
        <v>35471</v>
      </c>
      <c r="K817" t="s">
        <v>2240</v>
      </c>
      <c r="M817" s="3" t="str">
        <f>IF(I817="Billy Wilder", "Must Watch", IF(I817="John Ford", "Watch", "Maybe"))</f>
        <v>Maybe</v>
      </c>
    </row>
    <row r="818" spans="1:13" x14ac:dyDescent="0.25">
      <c r="A818">
        <v>817</v>
      </c>
      <c r="B818" t="s">
        <v>2241</v>
      </c>
      <c r="C818">
        <v>-2002</v>
      </c>
      <c r="D818" t="s">
        <v>308</v>
      </c>
      <c r="E818" t="s">
        <v>388</v>
      </c>
      <c r="F818" t="s">
        <v>37</v>
      </c>
      <c r="G818">
        <v>7.7</v>
      </c>
      <c r="H818">
        <v>61</v>
      </c>
      <c r="I818" t="s">
        <v>2242</v>
      </c>
      <c r="J818" s="3">
        <v>137108</v>
      </c>
      <c r="K818" t="s">
        <v>2243</v>
      </c>
      <c r="M818" s="3" t="str">
        <f>IF(I818="Billy Wilder", "Must Watch", IF(I818="John Ford", "Watch", "Maybe"))</f>
        <v>Maybe</v>
      </c>
    </row>
    <row r="819" spans="1:13" x14ac:dyDescent="0.25">
      <c r="A819">
        <v>818</v>
      </c>
      <c r="B819" t="s">
        <v>2244</v>
      </c>
      <c r="C819">
        <v>-2001</v>
      </c>
      <c r="D819">
        <v>18</v>
      </c>
      <c r="E819" t="s">
        <v>171</v>
      </c>
      <c r="F819" t="s">
        <v>20</v>
      </c>
      <c r="G819">
        <v>7.7</v>
      </c>
      <c r="H819">
        <v>88</v>
      </c>
      <c r="I819" t="s">
        <v>1511</v>
      </c>
      <c r="J819" s="3">
        <v>122102</v>
      </c>
      <c r="K819" t="s">
        <v>2245</v>
      </c>
      <c r="M819" s="3" t="str">
        <f>IF(I819="Billy Wilder", "Must Watch", IF(I819="John Ford", "Watch", "Maybe"))</f>
        <v>Maybe</v>
      </c>
    </row>
    <row r="820" spans="1:13" x14ac:dyDescent="0.25">
      <c r="A820">
        <v>819</v>
      </c>
      <c r="B820" t="s">
        <v>2246</v>
      </c>
      <c r="C820">
        <v>-2001</v>
      </c>
      <c r="D820">
        <v>15</v>
      </c>
      <c r="E820" t="s">
        <v>436</v>
      </c>
      <c r="F820" t="s">
        <v>275</v>
      </c>
      <c r="G820">
        <v>7.7</v>
      </c>
      <c r="H820">
        <v>83</v>
      </c>
      <c r="I820" t="s">
        <v>852</v>
      </c>
      <c r="J820" s="3">
        <v>63852</v>
      </c>
      <c r="K820" t="s">
        <v>2247</v>
      </c>
      <c r="M820" s="3" t="str">
        <f>IF(I820="Billy Wilder", "Must Watch", IF(I820="John Ford", "Watch", "Maybe"))</f>
        <v>Maybe</v>
      </c>
    </row>
    <row r="821" spans="1:13" x14ac:dyDescent="0.25">
      <c r="A821">
        <v>820</v>
      </c>
      <c r="B821" t="s">
        <v>2248</v>
      </c>
      <c r="C821">
        <v>-2001</v>
      </c>
      <c r="D821">
        <v>12</v>
      </c>
      <c r="E821" t="s">
        <v>131</v>
      </c>
      <c r="F821" t="s">
        <v>683</v>
      </c>
      <c r="G821">
        <v>7.7</v>
      </c>
      <c r="H821">
        <v>74</v>
      </c>
      <c r="I821" t="s">
        <v>2249</v>
      </c>
      <c r="J821" s="3">
        <v>561615</v>
      </c>
      <c r="K821" t="s">
        <v>2250</v>
      </c>
      <c r="M821" s="3" t="str">
        <f>IF(I821="Billy Wilder", "Must Watch", IF(I821="John Ford", "Watch", "Maybe"))</f>
        <v>Maybe</v>
      </c>
    </row>
    <row r="822" spans="1:13" x14ac:dyDescent="0.25">
      <c r="A822">
        <v>821</v>
      </c>
      <c r="B822" t="s">
        <v>2251</v>
      </c>
      <c r="C822">
        <v>-2000</v>
      </c>
      <c r="D822">
        <v>12</v>
      </c>
      <c r="E822" t="s">
        <v>493</v>
      </c>
      <c r="F822" t="s">
        <v>773</v>
      </c>
      <c r="G822">
        <v>7.7</v>
      </c>
      <c r="H822">
        <v>69</v>
      </c>
      <c r="I822" t="s">
        <v>893</v>
      </c>
      <c r="J822" s="3">
        <v>308287</v>
      </c>
      <c r="K822" t="s">
        <v>1774</v>
      </c>
      <c r="M822" s="3" t="str">
        <f>IF(I822="Billy Wilder", "Must Watch", IF(I822="John Ford", "Watch", "Maybe"))</f>
        <v>Maybe</v>
      </c>
    </row>
    <row r="823" spans="1:13" x14ac:dyDescent="0.25">
      <c r="A823">
        <v>822</v>
      </c>
      <c r="B823" t="s">
        <v>2252</v>
      </c>
      <c r="C823">
        <v>-2002</v>
      </c>
      <c r="D823">
        <v>12</v>
      </c>
      <c r="E823" t="s">
        <v>94</v>
      </c>
      <c r="F823" t="s">
        <v>2253</v>
      </c>
      <c r="G823">
        <v>7.7</v>
      </c>
      <c r="H823">
        <v>80</v>
      </c>
      <c r="I823" t="s">
        <v>43</v>
      </c>
      <c r="J823" s="3">
        <v>542869</v>
      </c>
      <c r="K823" t="s">
        <v>2254</v>
      </c>
      <c r="M823" s="3" t="str">
        <f>IF(I823="Billy Wilder", "Must Watch", IF(I823="John Ford", "Watch", "Maybe"))</f>
        <v>Maybe</v>
      </c>
    </row>
    <row r="824" spans="1:13" x14ac:dyDescent="0.25">
      <c r="A824">
        <v>823</v>
      </c>
      <c r="B824" t="s">
        <v>2255</v>
      </c>
      <c r="C824">
        <v>-1999</v>
      </c>
      <c r="D824">
        <v>15</v>
      </c>
      <c r="E824" t="s">
        <v>429</v>
      </c>
      <c r="F824" t="s">
        <v>2256</v>
      </c>
      <c r="G824">
        <v>7.7</v>
      </c>
      <c r="H824">
        <v>73</v>
      </c>
      <c r="I824" t="s">
        <v>2257</v>
      </c>
      <c r="J824" s="3">
        <v>203062</v>
      </c>
      <c r="K824" t="s">
        <v>2258</v>
      </c>
      <c r="M824" s="3" t="str">
        <f>IF(I824="Billy Wilder", "Must Watch", IF(I824="John Ford", "Watch", "Maybe"))</f>
        <v>Maybe</v>
      </c>
    </row>
    <row r="825" spans="1:13" x14ac:dyDescent="0.25">
      <c r="A825">
        <v>824</v>
      </c>
      <c r="B825" t="s">
        <v>2259</v>
      </c>
      <c r="C825">
        <v>-1999</v>
      </c>
      <c r="D825">
        <v>15</v>
      </c>
      <c r="E825" t="s">
        <v>221</v>
      </c>
      <c r="F825" t="s">
        <v>1287</v>
      </c>
      <c r="G825">
        <v>7.7</v>
      </c>
      <c r="H825">
        <v>68</v>
      </c>
      <c r="I825" t="s">
        <v>2260</v>
      </c>
      <c r="J825" s="3">
        <v>262823</v>
      </c>
      <c r="K825" t="s">
        <v>2261</v>
      </c>
      <c r="M825" s="3" t="str">
        <f>IF(I825="Billy Wilder", "Must Watch", IF(I825="John Ford", "Watch", "Maybe"))</f>
        <v>Maybe</v>
      </c>
    </row>
    <row r="826" spans="1:13" x14ac:dyDescent="0.25">
      <c r="A826">
        <v>825</v>
      </c>
      <c r="B826" t="s">
        <v>2262</v>
      </c>
      <c r="C826">
        <v>-1998</v>
      </c>
      <c r="D826">
        <v>18</v>
      </c>
      <c r="E826" t="s">
        <v>331</v>
      </c>
      <c r="F826" t="s">
        <v>304</v>
      </c>
      <c r="G826">
        <v>7.7</v>
      </c>
      <c r="H826">
        <v>81</v>
      </c>
      <c r="I826" t="s">
        <v>2263</v>
      </c>
      <c r="J826" s="3">
        <v>69967</v>
      </c>
      <c r="K826" t="s">
        <v>2264</v>
      </c>
      <c r="M826" s="3" t="str">
        <f>IF(I826="Billy Wilder", "Must Watch", IF(I826="John Ford", "Watch", "Maybe"))</f>
        <v>Maybe</v>
      </c>
    </row>
    <row r="827" spans="1:13" x14ac:dyDescent="0.25">
      <c r="A827">
        <v>826</v>
      </c>
      <c r="B827" t="s">
        <v>2265</v>
      </c>
      <c r="C827">
        <v>-1999</v>
      </c>
      <c r="D827">
        <v>18</v>
      </c>
      <c r="E827" t="s">
        <v>409</v>
      </c>
      <c r="F827" t="s">
        <v>640</v>
      </c>
      <c r="G827">
        <v>7.7</v>
      </c>
      <c r="H827">
        <v>44</v>
      </c>
      <c r="I827" t="s">
        <v>2266</v>
      </c>
      <c r="J827" s="3">
        <v>238011</v>
      </c>
      <c r="K827" t="s">
        <v>502</v>
      </c>
      <c r="M827" s="3" t="str">
        <f>IF(I827="Billy Wilder", "Must Watch", IF(I827="John Ford", "Watch", "Maybe"))</f>
        <v>Maybe</v>
      </c>
    </row>
    <row r="828" spans="1:13" x14ac:dyDescent="0.25">
      <c r="A828">
        <v>827</v>
      </c>
      <c r="B828" t="s">
        <v>2267</v>
      </c>
      <c r="C828">
        <v>-2001</v>
      </c>
      <c r="D828">
        <v>18</v>
      </c>
      <c r="E828" t="s">
        <v>268</v>
      </c>
      <c r="F828" t="s">
        <v>32</v>
      </c>
      <c r="G828">
        <v>7.7</v>
      </c>
      <c r="H828">
        <v>69</v>
      </c>
      <c r="I828" t="s">
        <v>2268</v>
      </c>
      <c r="J828" s="3">
        <v>427538</v>
      </c>
      <c r="K828" t="s">
        <v>2269</v>
      </c>
      <c r="M828" s="3" t="str">
        <f>IF(I828="Billy Wilder", "Must Watch", IF(I828="John Ford", "Watch", "Maybe"))</f>
        <v>Maybe</v>
      </c>
    </row>
    <row r="829" spans="1:13" x14ac:dyDescent="0.25">
      <c r="A829">
        <v>828</v>
      </c>
      <c r="B829" t="s">
        <v>2270</v>
      </c>
      <c r="C829">
        <v>-1998</v>
      </c>
      <c r="D829">
        <v>15</v>
      </c>
      <c r="E829" t="s">
        <v>429</v>
      </c>
      <c r="F829" t="s">
        <v>1175</v>
      </c>
      <c r="G829">
        <v>7.7</v>
      </c>
      <c r="H829">
        <v>77</v>
      </c>
      <c r="I829" t="s">
        <v>2271</v>
      </c>
      <c r="J829" s="3">
        <v>197730</v>
      </c>
      <c r="K829" t="s">
        <v>2272</v>
      </c>
      <c r="M829" s="3" t="str">
        <f>IF(I829="Billy Wilder", "Must Watch", IF(I829="John Ford", "Watch", "Maybe"))</f>
        <v>Maybe</v>
      </c>
    </row>
    <row r="830" spans="1:13" x14ac:dyDescent="0.25">
      <c r="A830">
        <v>829</v>
      </c>
      <c r="B830" t="s">
        <v>2273</v>
      </c>
      <c r="C830">
        <v>-1997</v>
      </c>
      <c r="D830">
        <v>15</v>
      </c>
      <c r="E830" t="s">
        <v>202</v>
      </c>
      <c r="F830" t="s">
        <v>187</v>
      </c>
      <c r="G830">
        <v>7.7</v>
      </c>
      <c r="I830" t="s">
        <v>1181</v>
      </c>
      <c r="J830" s="3">
        <v>68959</v>
      </c>
      <c r="K830" t="s">
        <v>2274</v>
      </c>
      <c r="M830" s="3" t="str">
        <f>IF(I830="Billy Wilder", "Must Watch", IF(I830="John Ford", "Watch", "Maybe"))</f>
        <v>Maybe</v>
      </c>
    </row>
    <row r="831" spans="1:13" x14ac:dyDescent="0.25">
      <c r="A831">
        <v>830</v>
      </c>
      <c r="B831" t="s">
        <v>2275</v>
      </c>
      <c r="C831">
        <v>-1997</v>
      </c>
      <c r="D831" t="s">
        <v>74</v>
      </c>
      <c r="E831" t="s">
        <v>356</v>
      </c>
      <c r="F831" t="s">
        <v>20</v>
      </c>
      <c r="G831">
        <v>7.7</v>
      </c>
      <c r="H831">
        <v>80</v>
      </c>
      <c r="I831" t="s">
        <v>2276</v>
      </c>
      <c r="J831" s="3">
        <v>30423</v>
      </c>
      <c r="K831" t="s">
        <v>907</v>
      </c>
      <c r="M831" s="3" t="str">
        <f>IF(I831="Billy Wilder", "Must Watch", IF(I831="John Ford", "Watch", "Maybe"))</f>
        <v>Maybe</v>
      </c>
    </row>
    <row r="832" spans="1:13" x14ac:dyDescent="0.25">
      <c r="A832">
        <v>831</v>
      </c>
      <c r="B832" t="s">
        <v>2277</v>
      </c>
      <c r="C832">
        <v>-1997</v>
      </c>
      <c r="D832">
        <v>15</v>
      </c>
      <c r="E832" t="s">
        <v>70</v>
      </c>
      <c r="F832" t="s">
        <v>132</v>
      </c>
      <c r="G832">
        <v>7.7</v>
      </c>
      <c r="H832">
        <v>67</v>
      </c>
      <c r="I832" t="s">
        <v>2278</v>
      </c>
      <c r="J832" s="3">
        <v>295933</v>
      </c>
      <c r="K832" t="s">
        <v>2279</v>
      </c>
      <c r="M832" s="3" t="str">
        <f>IF(I832="Billy Wilder", "Must Watch", IF(I832="John Ford", "Watch", "Maybe"))</f>
        <v>Maybe</v>
      </c>
    </row>
    <row r="833" spans="1:13" x14ac:dyDescent="0.25">
      <c r="A833">
        <v>832</v>
      </c>
      <c r="B833" t="s">
        <v>2280</v>
      </c>
      <c r="C833">
        <v>-1997</v>
      </c>
      <c r="D833">
        <v>18</v>
      </c>
      <c r="E833" t="s">
        <v>403</v>
      </c>
      <c r="F833" t="s">
        <v>1132</v>
      </c>
      <c r="G833">
        <v>7.7</v>
      </c>
      <c r="I833" t="s">
        <v>2281</v>
      </c>
      <c r="J833" s="3">
        <v>30480</v>
      </c>
      <c r="K833" t="s">
        <v>958</v>
      </c>
      <c r="M833" s="3" t="str">
        <f>IF(I833="Billy Wilder", "Must Watch", IF(I833="John Ford", "Watch", "Maybe"))</f>
        <v>Maybe</v>
      </c>
    </row>
    <row r="834" spans="1:13" x14ac:dyDescent="0.25">
      <c r="A834">
        <v>833</v>
      </c>
      <c r="B834" t="s">
        <v>2282</v>
      </c>
      <c r="C834">
        <v>-1997</v>
      </c>
      <c r="D834">
        <v>15</v>
      </c>
      <c r="E834" t="s">
        <v>452</v>
      </c>
      <c r="F834" t="s">
        <v>317</v>
      </c>
      <c r="G834">
        <v>7.7</v>
      </c>
      <c r="H834">
        <v>61</v>
      </c>
      <c r="I834" t="s">
        <v>71</v>
      </c>
      <c r="J834" s="3">
        <v>386785</v>
      </c>
      <c r="K834" t="s">
        <v>2283</v>
      </c>
      <c r="M834" s="3" t="str">
        <f>IF(I834="Billy Wilder", "Must Watch", IF(I834="John Ford", "Watch", "Maybe"))</f>
        <v>Maybe</v>
      </c>
    </row>
    <row r="835" spans="1:13" x14ac:dyDescent="0.25">
      <c r="A835">
        <v>834</v>
      </c>
      <c r="B835" t="s">
        <v>2284</v>
      </c>
      <c r="C835">
        <v>-1997</v>
      </c>
      <c r="D835">
        <v>18</v>
      </c>
      <c r="E835" t="s">
        <v>136</v>
      </c>
      <c r="F835" t="s">
        <v>95</v>
      </c>
      <c r="G835">
        <v>7.7</v>
      </c>
      <c r="H835">
        <v>76</v>
      </c>
      <c r="I835" t="s">
        <v>2207</v>
      </c>
      <c r="J835" s="3">
        <v>303217</v>
      </c>
      <c r="K835" t="s">
        <v>2285</v>
      </c>
      <c r="M835" s="3" t="str">
        <f>IF(I835="Billy Wilder", "Must Watch", IF(I835="John Ford", "Watch", "Maybe"))</f>
        <v>Maybe</v>
      </c>
    </row>
    <row r="836" spans="1:13" x14ac:dyDescent="0.25">
      <c r="A836">
        <v>835</v>
      </c>
      <c r="B836" t="s">
        <v>2286</v>
      </c>
      <c r="C836">
        <v>-1997</v>
      </c>
      <c r="D836">
        <v>15</v>
      </c>
      <c r="E836" t="s">
        <v>50</v>
      </c>
      <c r="F836" t="s">
        <v>78</v>
      </c>
      <c r="G836">
        <v>7.7</v>
      </c>
      <c r="H836">
        <v>70</v>
      </c>
      <c r="I836" t="s">
        <v>1223</v>
      </c>
      <c r="J836" s="3">
        <v>28698</v>
      </c>
      <c r="K836" t="s">
        <v>1880</v>
      </c>
      <c r="M836" s="3" t="str">
        <f>IF(I836="Billy Wilder", "Must Watch", IF(I836="John Ford", "Watch", "Maybe"))</f>
        <v>Maybe</v>
      </c>
    </row>
    <row r="837" spans="1:13" x14ac:dyDescent="0.25">
      <c r="A837">
        <v>836</v>
      </c>
      <c r="B837" t="s">
        <v>2287</v>
      </c>
      <c r="C837">
        <v>-1996</v>
      </c>
      <c r="D837">
        <v>12</v>
      </c>
      <c r="E837" t="s">
        <v>291</v>
      </c>
      <c r="F837" t="s">
        <v>194</v>
      </c>
      <c r="G837">
        <v>7.7</v>
      </c>
      <c r="H837">
        <v>87</v>
      </c>
      <c r="I837" t="s">
        <v>2288</v>
      </c>
      <c r="J837" s="3">
        <v>54099</v>
      </c>
      <c r="K837" t="s">
        <v>2289</v>
      </c>
      <c r="M837" s="3" t="str">
        <f>IF(I837="Billy Wilder", "Must Watch", IF(I837="John Ford", "Watch", "Maybe"))</f>
        <v>Maybe</v>
      </c>
    </row>
    <row r="838" spans="1:13" x14ac:dyDescent="0.25">
      <c r="A838">
        <v>837</v>
      </c>
      <c r="B838" t="s">
        <v>2290</v>
      </c>
      <c r="C838">
        <v>-1996</v>
      </c>
      <c r="D838">
        <v>18</v>
      </c>
      <c r="E838" t="s">
        <v>452</v>
      </c>
      <c r="F838" t="s">
        <v>56</v>
      </c>
      <c r="G838">
        <v>7.7</v>
      </c>
      <c r="H838">
        <v>47</v>
      </c>
      <c r="I838" t="s">
        <v>2291</v>
      </c>
      <c r="J838" s="3">
        <v>209708</v>
      </c>
      <c r="K838" t="s">
        <v>2292</v>
      </c>
      <c r="M838" s="3" t="str">
        <f>IF(I838="Billy Wilder", "Must Watch", IF(I838="John Ford", "Watch", "Maybe"))</f>
        <v>Maybe</v>
      </c>
    </row>
    <row r="839" spans="1:13" x14ac:dyDescent="0.25">
      <c r="A839">
        <v>838</v>
      </c>
      <c r="B839" t="s">
        <v>2293</v>
      </c>
      <c r="C839">
        <v>-1995</v>
      </c>
      <c r="D839" t="s">
        <v>49</v>
      </c>
      <c r="E839" t="s">
        <v>89</v>
      </c>
      <c r="F839" t="s">
        <v>78</v>
      </c>
      <c r="G839">
        <v>7.7</v>
      </c>
      <c r="H839">
        <v>84</v>
      </c>
      <c r="I839" t="s">
        <v>1487</v>
      </c>
      <c r="J839" s="3">
        <v>114427</v>
      </c>
      <c r="K839" t="s">
        <v>2294</v>
      </c>
      <c r="M839" s="3" t="str">
        <f>IF(I839="Billy Wilder", "Must Watch", IF(I839="John Ford", "Watch", "Maybe"))</f>
        <v>Maybe</v>
      </c>
    </row>
    <row r="840" spans="1:13" x14ac:dyDescent="0.25">
      <c r="A840">
        <v>839</v>
      </c>
      <c r="B840" t="s">
        <v>2295</v>
      </c>
      <c r="C840" t="s">
        <v>2296</v>
      </c>
      <c r="D840" t="s">
        <v>74</v>
      </c>
      <c r="E840" t="s">
        <v>561</v>
      </c>
      <c r="F840" t="s">
        <v>672</v>
      </c>
      <c r="G840">
        <v>7.7</v>
      </c>
      <c r="H840">
        <v>77</v>
      </c>
      <c r="I840" t="s">
        <v>607</v>
      </c>
      <c r="J840" s="3">
        <v>290985</v>
      </c>
      <c r="K840" t="s">
        <v>2297</v>
      </c>
      <c r="M840" s="3" t="str">
        <f>IF(I840="Billy Wilder", "Must Watch", IF(I840="John Ford", "Watch", "Maybe"))</f>
        <v>Maybe</v>
      </c>
    </row>
    <row r="841" spans="1:13" x14ac:dyDescent="0.25">
      <c r="A841">
        <v>840</v>
      </c>
      <c r="B841" t="s">
        <v>2298</v>
      </c>
      <c r="C841">
        <v>-1994</v>
      </c>
      <c r="D841" t="s">
        <v>49</v>
      </c>
      <c r="E841" t="s">
        <v>409</v>
      </c>
      <c r="F841" t="s">
        <v>177</v>
      </c>
      <c r="G841">
        <v>7.7</v>
      </c>
      <c r="H841">
        <v>81</v>
      </c>
      <c r="I841" t="s">
        <v>2299</v>
      </c>
      <c r="J841" s="3">
        <v>36314</v>
      </c>
      <c r="K841" t="s">
        <v>2300</v>
      </c>
      <c r="M841" s="3" t="str">
        <f>IF(I841="Billy Wilder", "Must Watch", IF(I841="John Ford", "Watch", "Maybe"))</f>
        <v>Maybe</v>
      </c>
    </row>
    <row r="842" spans="1:13" x14ac:dyDescent="0.25">
      <c r="A842">
        <v>841</v>
      </c>
      <c r="B842" t="s">
        <v>2301</v>
      </c>
      <c r="C842">
        <v>-1994</v>
      </c>
      <c r="D842">
        <v>18</v>
      </c>
      <c r="E842" t="s">
        <v>827</v>
      </c>
      <c r="F842" t="s">
        <v>1287</v>
      </c>
      <c r="G842">
        <v>7.7</v>
      </c>
      <c r="H842">
        <v>70</v>
      </c>
      <c r="I842" t="s">
        <v>2302</v>
      </c>
      <c r="J842" s="3">
        <v>220452</v>
      </c>
      <c r="K842" t="s">
        <v>2303</v>
      </c>
      <c r="M842" s="3" t="str">
        <f>IF(I842="Billy Wilder", "Must Watch", IF(I842="John Ford", "Watch", "Maybe"))</f>
        <v>Maybe</v>
      </c>
    </row>
    <row r="843" spans="1:13" x14ac:dyDescent="0.25">
      <c r="A843">
        <v>842</v>
      </c>
      <c r="B843" t="s">
        <v>2304</v>
      </c>
      <c r="C843">
        <v>-1993</v>
      </c>
      <c r="D843">
        <v>12</v>
      </c>
      <c r="E843" t="s">
        <v>143</v>
      </c>
      <c r="F843" t="s">
        <v>20</v>
      </c>
      <c r="G843">
        <v>7.7</v>
      </c>
      <c r="H843">
        <v>73</v>
      </c>
      <c r="I843" t="s">
        <v>825</v>
      </c>
      <c r="J843" s="3">
        <v>234288</v>
      </c>
      <c r="K843" t="s">
        <v>2305</v>
      </c>
      <c r="M843" s="3" t="str">
        <f>IF(I843="Billy Wilder", "Must Watch", IF(I843="John Ford", "Watch", "Maybe"))</f>
        <v>Maybe</v>
      </c>
    </row>
    <row r="844" spans="1:13" x14ac:dyDescent="0.25">
      <c r="A844">
        <v>843</v>
      </c>
      <c r="B844" t="s">
        <v>2306</v>
      </c>
      <c r="C844">
        <v>-1993</v>
      </c>
      <c r="D844">
        <v>18</v>
      </c>
      <c r="E844" t="s">
        <v>951</v>
      </c>
      <c r="F844" t="s">
        <v>304</v>
      </c>
      <c r="G844">
        <v>7.7</v>
      </c>
      <c r="H844">
        <v>79</v>
      </c>
      <c r="I844" t="s">
        <v>2307</v>
      </c>
      <c r="J844" s="3">
        <v>44726</v>
      </c>
      <c r="K844" t="s">
        <v>2308</v>
      </c>
      <c r="M844" s="3" t="str">
        <f>IF(I844="Billy Wilder", "Must Watch", IF(I844="John Ford", "Watch", "Maybe"))</f>
        <v>Maybe</v>
      </c>
    </row>
    <row r="845" spans="1:13" x14ac:dyDescent="0.25">
      <c r="A845">
        <v>844</v>
      </c>
      <c r="B845" t="s">
        <v>2309</v>
      </c>
      <c r="C845">
        <v>-1993</v>
      </c>
      <c r="D845">
        <v>12</v>
      </c>
      <c r="E845" t="s">
        <v>119</v>
      </c>
      <c r="F845" t="s">
        <v>20</v>
      </c>
      <c r="G845">
        <v>7.7</v>
      </c>
      <c r="H845">
        <v>66</v>
      </c>
      <c r="I845" t="s">
        <v>145</v>
      </c>
      <c r="J845" s="3">
        <v>239182</v>
      </c>
      <c r="K845" t="s">
        <v>2310</v>
      </c>
      <c r="M845" s="3" t="str">
        <f>IF(I845="Billy Wilder", "Must Watch", IF(I845="John Ford", "Watch", "Maybe"))</f>
        <v>Maybe</v>
      </c>
    </row>
    <row r="846" spans="1:13" x14ac:dyDescent="0.25">
      <c r="A846">
        <v>845</v>
      </c>
      <c r="B846" t="s">
        <v>2311</v>
      </c>
      <c r="C846">
        <v>-1993</v>
      </c>
      <c r="D846">
        <v>18</v>
      </c>
      <c r="E846" t="s">
        <v>388</v>
      </c>
      <c r="F846" t="s">
        <v>304</v>
      </c>
      <c r="G846">
        <v>7.7</v>
      </c>
      <c r="H846">
        <v>85</v>
      </c>
      <c r="I846" t="s">
        <v>1229</v>
      </c>
      <c r="J846" s="3">
        <v>39051</v>
      </c>
      <c r="K846" t="s">
        <v>2312</v>
      </c>
      <c r="M846" s="3" t="str">
        <f>IF(I846="Billy Wilder", "Must Watch", IF(I846="John Ford", "Watch", "Maybe"))</f>
        <v>Maybe</v>
      </c>
    </row>
    <row r="847" spans="1:13" x14ac:dyDescent="0.25">
      <c r="A847">
        <v>846</v>
      </c>
      <c r="B847" t="s">
        <v>2313</v>
      </c>
      <c r="C847">
        <v>-1992</v>
      </c>
      <c r="D847" t="s">
        <v>49</v>
      </c>
      <c r="E847" t="s">
        <v>991</v>
      </c>
      <c r="F847" t="s">
        <v>508</v>
      </c>
      <c r="G847">
        <v>7.7</v>
      </c>
      <c r="H847">
        <v>64</v>
      </c>
      <c r="I847" t="s">
        <v>2314</v>
      </c>
      <c r="J847" s="3">
        <v>57762</v>
      </c>
      <c r="K847" t="s">
        <v>2315</v>
      </c>
      <c r="M847" s="3" t="str">
        <f>IF(I847="Billy Wilder", "Must Watch", IF(I847="John Ford", "Watch", "Maybe"))</f>
        <v>Maybe</v>
      </c>
    </row>
    <row r="848" spans="1:13" x14ac:dyDescent="0.25">
      <c r="A848">
        <v>847</v>
      </c>
      <c r="B848" t="s">
        <v>2316</v>
      </c>
      <c r="C848">
        <v>-1992</v>
      </c>
      <c r="D848">
        <v>15</v>
      </c>
      <c r="E848" t="s">
        <v>46</v>
      </c>
      <c r="F848" t="s">
        <v>42</v>
      </c>
      <c r="G848">
        <v>7.7</v>
      </c>
      <c r="H848">
        <v>73</v>
      </c>
      <c r="I848" t="s">
        <v>1581</v>
      </c>
      <c r="J848" s="3">
        <v>93738</v>
      </c>
      <c r="K848" t="s">
        <v>2317</v>
      </c>
      <c r="M848" s="3" t="str">
        <f>IF(I848="Billy Wilder", "Must Watch", IF(I848="John Ford", "Watch", "Maybe"))</f>
        <v>Maybe</v>
      </c>
    </row>
    <row r="849" spans="1:13" x14ac:dyDescent="0.25">
      <c r="A849">
        <v>848</v>
      </c>
      <c r="B849" t="s">
        <v>2318</v>
      </c>
      <c r="C849">
        <v>-1992</v>
      </c>
      <c r="D849">
        <v>12</v>
      </c>
      <c r="E849" t="s">
        <v>176</v>
      </c>
      <c r="F849" t="s">
        <v>37</v>
      </c>
      <c r="G849">
        <v>7.7</v>
      </c>
      <c r="H849">
        <v>76</v>
      </c>
      <c r="I849" t="s">
        <v>433</v>
      </c>
      <c r="J849" s="3">
        <v>166945</v>
      </c>
      <c r="K849" t="s">
        <v>2319</v>
      </c>
      <c r="M849" s="3" t="str">
        <f>IF(I849="Billy Wilder", "Must Watch", IF(I849="John Ford", "Watch", "Maybe"))</f>
        <v>Maybe</v>
      </c>
    </row>
    <row r="850" spans="1:13" x14ac:dyDescent="0.25">
      <c r="A850">
        <v>849</v>
      </c>
      <c r="B850" t="s">
        <v>2320</v>
      </c>
      <c r="C850">
        <v>-1992</v>
      </c>
      <c r="D850">
        <v>18</v>
      </c>
      <c r="E850" t="s">
        <v>477</v>
      </c>
      <c r="F850" t="s">
        <v>1175</v>
      </c>
      <c r="G850">
        <v>7.7</v>
      </c>
      <c r="I850" t="s">
        <v>1941</v>
      </c>
      <c r="J850" s="3">
        <v>50240</v>
      </c>
      <c r="M850" s="3" t="str">
        <f>IF(I850="Billy Wilder", "Must Watch", IF(I850="John Ford", "Watch", "Maybe"))</f>
        <v>Maybe</v>
      </c>
    </row>
    <row r="851" spans="1:13" x14ac:dyDescent="0.25">
      <c r="A851">
        <v>850</v>
      </c>
      <c r="B851" t="s">
        <v>2321</v>
      </c>
      <c r="C851">
        <v>-1992</v>
      </c>
      <c r="D851" t="s">
        <v>74</v>
      </c>
      <c r="E851" t="s">
        <v>1057</v>
      </c>
      <c r="F851" t="s">
        <v>292</v>
      </c>
      <c r="G851">
        <v>7.7</v>
      </c>
      <c r="H851">
        <v>83</v>
      </c>
      <c r="I851" t="s">
        <v>121</v>
      </c>
      <c r="J851" s="3">
        <v>87890</v>
      </c>
      <c r="M851" s="3" t="str">
        <f>IF(I851="Billy Wilder", "Must Watch", IF(I851="John Ford", "Watch", "Maybe"))</f>
        <v>Maybe</v>
      </c>
    </row>
    <row r="852" spans="1:13" x14ac:dyDescent="0.25">
      <c r="A852">
        <v>851</v>
      </c>
      <c r="B852" t="s">
        <v>2322</v>
      </c>
      <c r="C852">
        <v>-1992</v>
      </c>
      <c r="D852">
        <v>15</v>
      </c>
      <c r="E852" t="s">
        <v>613</v>
      </c>
      <c r="F852" t="s">
        <v>56</v>
      </c>
      <c r="G852">
        <v>7.7</v>
      </c>
      <c r="H852">
        <v>82</v>
      </c>
      <c r="I852" t="s">
        <v>2323</v>
      </c>
      <c r="J852" s="3">
        <v>104277</v>
      </c>
      <c r="K852" t="s">
        <v>2324</v>
      </c>
      <c r="M852" s="3" t="str">
        <f>IF(I852="Billy Wilder", "Must Watch", IF(I852="John Ford", "Watch", "Maybe"))</f>
        <v>Maybe</v>
      </c>
    </row>
    <row r="853" spans="1:13" x14ac:dyDescent="0.25">
      <c r="A853">
        <v>852</v>
      </c>
      <c r="B853" t="s">
        <v>2325</v>
      </c>
      <c r="C853">
        <v>-1992</v>
      </c>
      <c r="D853">
        <v>15</v>
      </c>
      <c r="E853" t="s">
        <v>515</v>
      </c>
      <c r="F853" t="s">
        <v>756</v>
      </c>
      <c r="G853">
        <v>7.7</v>
      </c>
      <c r="H853">
        <v>62</v>
      </c>
      <c r="I853" t="s">
        <v>935</v>
      </c>
      <c r="J853" s="3">
        <v>259782</v>
      </c>
      <c r="K853" t="s">
        <v>2326</v>
      </c>
      <c r="M853" s="3" t="str">
        <f>IF(I853="Billy Wilder", "Must Watch", IF(I853="John Ford", "Watch", "Maybe"))</f>
        <v>Maybe</v>
      </c>
    </row>
    <row r="854" spans="1:13" x14ac:dyDescent="0.25">
      <c r="A854">
        <v>853</v>
      </c>
      <c r="B854" t="s">
        <v>2327</v>
      </c>
      <c r="C854">
        <v>-1991</v>
      </c>
      <c r="D854">
        <v>15</v>
      </c>
      <c r="E854" t="s">
        <v>452</v>
      </c>
      <c r="F854" t="s">
        <v>304</v>
      </c>
      <c r="G854">
        <v>7.7</v>
      </c>
      <c r="H854">
        <v>68</v>
      </c>
      <c r="I854" t="s">
        <v>2328</v>
      </c>
      <c r="J854" s="3">
        <v>60169</v>
      </c>
      <c r="K854" t="s">
        <v>2329</v>
      </c>
      <c r="M854" s="3" t="str">
        <f>IF(I854="Billy Wilder", "Must Watch", IF(I854="John Ford", "Watch", "Maybe"))</f>
        <v>Maybe</v>
      </c>
    </row>
    <row r="855" spans="1:13" x14ac:dyDescent="0.25">
      <c r="A855">
        <v>854</v>
      </c>
      <c r="B855" t="s">
        <v>2330</v>
      </c>
      <c r="C855">
        <v>-1991</v>
      </c>
      <c r="D855">
        <v>12</v>
      </c>
      <c r="E855" t="s">
        <v>108</v>
      </c>
      <c r="F855" t="s">
        <v>20</v>
      </c>
      <c r="G855">
        <v>7.7</v>
      </c>
      <c r="H855">
        <v>64</v>
      </c>
      <c r="I855" t="s">
        <v>2331</v>
      </c>
      <c r="J855" s="3">
        <v>74053</v>
      </c>
      <c r="K855" t="s">
        <v>2332</v>
      </c>
      <c r="M855" s="3" t="str">
        <f>IF(I855="Billy Wilder", "Must Watch", IF(I855="John Ford", "Watch", "Maybe"))</f>
        <v>Maybe</v>
      </c>
    </row>
    <row r="856" spans="1:13" x14ac:dyDescent="0.25">
      <c r="A856">
        <v>855</v>
      </c>
      <c r="B856" t="s">
        <v>2333</v>
      </c>
      <c r="C856">
        <v>-1991</v>
      </c>
      <c r="D856">
        <v>15</v>
      </c>
      <c r="E856" t="s">
        <v>313</v>
      </c>
      <c r="F856" t="s">
        <v>1281</v>
      </c>
      <c r="G856">
        <v>7.7</v>
      </c>
      <c r="H856">
        <v>86</v>
      </c>
      <c r="I856" t="s">
        <v>911</v>
      </c>
      <c r="J856" s="3">
        <v>48120</v>
      </c>
      <c r="K856" t="s">
        <v>1393</v>
      </c>
      <c r="M856" s="3" t="str">
        <f>IF(I856="Billy Wilder", "Must Watch", IF(I856="John Ford", "Watch", "Maybe"))</f>
        <v>Maybe</v>
      </c>
    </row>
    <row r="857" spans="1:13" x14ac:dyDescent="0.25">
      <c r="A857">
        <v>856</v>
      </c>
      <c r="B857" t="s">
        <v>2334</v>
      </c>
      <c r="C857">
        <v>-1990</v>
      </c>
      <c r="D857" t="s">
        <v>74</v>
      </c>
      <c r="E857" t="s">
        <v>202</v>
      </c>
      <c r="F857" t="s">
        <v>1011</v>
      </c>
      <c r="G857">
        <v>7.7</v>
      </c>
      <c r="I857" t="s">
        <v>157</v>
      </c>
      <c r="J857" s="3">
        <v>26281</v>
      </c>
      <c r="K857" t="s">
        <v>2335</v>
      </c>
      <c r="M857" s="3" t="str">
        <f>IF(I857="Billy Wilder", "Must Watch", IF(I857="John Ford", "Watch", "Maybe"))</f>
        <v>Maybe</v>
      </c>
    </row>
    <row r="858" spans="1:13" x14ac:dyDescent="0.25">
      <c r="A858">
        <v>857</v>
      </c>
      <c r="B858" t="s">
        <v>2336</v>
      </c>
      <c r="C858">
        <v>-1990</v>
      </c>
      <c r="D858">
        <v>18</v>
      </c>
      <c r="E858" t="s">
        <v>342</v>
      </c>
      <c r="F858" t="s">
        <v>144</v>
      </c>
      <c r="G858">
        <v>7.7</v>
      </c>
      <c r="H858">
        <v>66</v>
      </c>
      <c r="I858" t="s">
        <v>893</v>
      </c>
      <c r="J858" s="3">
        <v>134434</v>
      </c>
      <c r="K858" t="s">
        <v>2337</v>
      </c>
      <c r="M858" s="3" t="str">
        <f>IF(I858="Billy Wilder", "Must Watch", IF(I858="John Ford", "Watch", "Maybe"))</f>
        <v>Maybe</v>
      </c>
    </row>
    <row r="859" spans="1:13" x14ac:dyDescent="0.25">
      <c r="A859">
        <v>858</v>
      </c>
      <c r="B859" t="s">
        <v>2338</v>
      </c>
      <c r="C859">
        <v>-1990</v>
      </c>
      <c r="D859" t="s">
        <v>74</v>
      </c>
      <c r="E859" t="s">
        <v>403</v>
      </c>
      <c r="F859" t="s">
        <v>1595</v>
      </c>
      <c r="G859">
        <v>7.7</v>
      </c>
      <c r="H859">
        <v>63</v>
      </c>
      <c r="I859" t="s">
        <v>2339</v>
      </c>
      <c r="J859" s="3">
        <v>555207</v>
      </c>
      <c r="K859" t="s">
        <v>2340</v>
      </c>
      <c r="M859" s="3" t="str">
        <f>IF(I859="Billy Wilder", "Must Watch", IF(I859="John Ford", "Watch", "Maybe"))</f>
        <v>Maybe</v>
      </c>
    </row>
    <row r="860" spans="1:13" x14ac:dyDescent="0.25">
      <c r="A860">
        <v>859</v>
      </c>
      <c r="B860" t="s">
        <v>2341</v>
      </c>
      <c r="C860">
        <v>-1989</v>
      </c>
      <c r="D860">
        <v>15</v>
      </c>
      <c r="E860" t="s">
        <v>356</v>
      </c>
      <c r="F860" t="s">
        <v>132</v>
      </c>
      <c r="G860">
        <v>7.7</v>
      </c>
      <c r="H860">
        <v>76</v>
      </c>
      <c r="I860" t="s">
        <v>935</v>
      </c>
      <c r="J860" s="3">
        <v>215623</v>
      </c>
      <c r="K860" t="s">
        <v>2342</v>
      </c>
      <c r="M860" s="3" t="str">
        <f>IF(I860="Billy Wilder", "Must Watch", IF(I860="John Ford", "Watch", "Maybe"))</f>
        <v>Maybe</v>
      </c>
    </row>
    <row r="861" spans="1:13" x14ac:dyDescent="0.25">
      <c r="A861">
        <v>860</v>
      </c>
      <c r="B861" t="s">
        <v>2343</v>
      </c>
      <c r="C861">
        <v>-1988</v>
      </c>
      <c r="D861" t="s">
        <v>74</v>
      </c>
      <c r="E861" t="s">
        <v>418</v>
      </c>
      <c r="F861" t="s">
        <v>292</v>
      </c>
      <c r="G861">
        <v>7.7</v>
      </c>
      <c r="H861">
        <v>83</v>
      </c>
      <c r="I861" t="s">
        <v>79</v>
      </c>
      <c r="J861" s="3">
        <v>198429</v>
      </c>
      <c r="K861" t="s">
        <v>2344</v>
      </c>
      <c r="M861" s="3" t="str">
        <f>IF(I861="Billy Wilder", "Must Watch", IF(I861="John Ford", "Watch", "Maybe"))</f>
        <v>Maybe</v>
      </c>
    </row>
    <row r="862" spans="1:13" x14ac:dyDescent="0.25">
      <c r="A862">
        <v>861</v>
      </c>
      <c r="B862" t="s">
        <v>2345</v>
      </c>
      <c r="C862">
        <v>-1988</v>
      </c>
      <c r="D862">
        <v>12</v>
      </c>
      <c r="E862" t="s">
        <v>493</v>
      </c>
      <c r="F862" t="s">
        <v>246</v>
      </c>
      <c r="G862">
        <v>7.7</v>
      </c>
      <c r="I862" t="s">
        <v>2346</v>
      </c>
      <c r="J862" s="3">
        <v>38540</v>
      </c>
      <c r="M862" s="3" t="str">
        <f>IF(I862="Billy Wilder", "Must Watch", IF(I862="John Ford", "Watch", "Maybe"))</f>
        <v>Maybe</v>
      </c>
    </row>
    <row r="863" spans="1:13" x14ac:dyDescent="0.25">
      <c r="A863">
        <v>862</v>
      </c>
      <c r="B863" t="s">
        <v>2347</v>
      </c>
      <c r="C863">
        <v>-1987</v>
      </c>
      <c r="D863">
        <v>15</v>
      </c>
      <c r="E863" t="s">
        <v>537</v>
      </c>
      <c r="F863" t="s">
        <v>42</v>
      </c>
      <c r="G863">
        <v>7.7</v>
      </c>
      <c r="H863">
        <v>76</v>
      </c>
      <c r="I863" t="s">
        <v>1618</v>
      </c>
      <c r="J863" s="3">
        <v>102277</v>
      </c>
      <c r="K863" t="s">
        <v>2348</v>
      </c>
      <c r="M863" s="3" t="str">
        <f>IF(I863="Billy Wilder", "Must Watch", IF(I863="John Ford", "Watch", "Maybe"))</f>
        <v>Maybe</v>
      </c>
    </row>
    <row r="864" spans="1:13" x14ac:dyDescent="0.25">
      <c r="A864">
        <v>863</v>
      </c>
      <c r="B864" t="s">
        <v>2349</v>
      </c>
      <c r="C864">
        <v>-1987</v>
      </c>
      <c r="D864">
        <v>18</v>
      </c>
      <c r="E864" t="s">
        <v>1251</v>
      </c>
      <c r="F864" t="s">
        <v>1500</v>
      </c>
      <c r="G864">
        <v>7.7</v>
      </c>
      <c r="H864">
        <v>72</v>
      </c>
      <c r="I864" t="s">
        <v>2350</v>
      </c>
      <c r="J864" s="3">
        <v>161947</v>
      </c>
      <c r="K864" t="s">
        <v>2351</v>
      </c>
      <c r="M864" s="3" t="str">
        <f>IF(I864="Billy Wilder", "Must Watch", IF(I864="John Ford", "Watch", "Maybe"))</f>
        <v>Maybe</v>
      </c>
    </row>
    <row r="865" spans="1:13" x14ac:dyDescent="0.25">
      <c r="A865">
        <v>864</v>
      </c>
      <c r="B865" t="s">
        <v>2352</v>
      </c>
      <c r="C865">
        <v>-1987</v>
      </c>
      <c r="D865" t="s">
        <v>74</v>
      </c>
      <c r="E865" t="s">
        <v>86</v>
      </c>
      <c r="F865" t="s">
        <v>1602</v>
      </c>
      <c r="G865">
        <v>7.7</v>
      </c>
      <c r="H865">
        <v>62</v>
      </c>
      <c r="I865" t="s">
        <v>43</v>
      </c>
      <c r="J865" s="3">
        <v>124416</v>
      </c>
      <c r="K865" t="s">
        <v>1283</v>
      </c>
      <c r="M865" s="3" t="str">
        <f>IF(I865="Billy Wilder", "Must Watch", IF(I865="John Ford", "Watch", "Maybe"))</f>
        <v>Maybe</v>
      </c>
    </row>
    <row r="866" spans="1:13" x14ac:dyDescent="0.25">
      <c r="A866">
        <v>865</v>
      </c>
      <c r="B866" t="s">
        <v>2353</v>
      </c>
      <c r="C866">
        <v>-1986</v>
      </c>
      <c r="D866">
        <v>18</v>
      </c>
      <c r="E866" t="s">
        <v>108</v>
      </c>
      <c r="F866" t="s">
        <v>2354</v>
      </c>
      <c r="G866">
        <v>7.7</v>
      </c>
      <c r="H866">
        <v>54</v>
      </c>
      <c r="I866" t="s">
        <v>2355</v>
      </c>
      <c r="J866" s="3">
        <v>107975</v>
      </c>
      <c r="K866" t="s">
        <v>2356</v>
      </c>
      <c r="M866" s="3" t="str">
        <f>IF(I866="Billy Wilder", "Must Watch", IF(I866="John Ford", "Watch", "Maybe"))</f>
        <v>Maybe</v>
      </c>
    </row>
    <row r="867" spans="1:13" x14ac:dyDescent="0.25">
      <c r="A867">
        <v>866</v>
      </c>
      <c r="B867" t="s">
        <v>2357</v>
      </c>
      <c r="C867">
        <v>-1986</v>
      </c>
      <c r="D867">
        <v>15</v>
      </c>
      <c r="E867" t="s">
        <v>493</v>
      </c>
      <c r="F867" t="s">
        <v>453</v>
      </c>
      <c r="G867">
        <v>7.7</v>
      </c>
      <c r="H867">
        <v>75</v>
      </c>
      <c r="I867" t="s">
        <v>2328</v>
      </c>
      <c r="J867" s="3">
        <v>51378</v>
      </c>
      <c r="K867" t="s">
        <v>2358</v>
      </c>
      <c r="M867" s="3" t="str">
        <f>IF(I867="Billy Wilder", "Must Watch", IF(I867="John Ford", "Watch", "Maybe"))</f>
        <v>Maybe</v>
      </c>
    </row>
    <row r="868" spans="1:13" x14ac:dyDescent="0.25">
      <c r="A868">
        <v>867</v>
      </c>
      <c r="B868" t="s">
        <v>2359</v>
      </c>
      <c r="C868">
        <v>-1986</v>
      </c>
      <c r="D868">
        <v>18</v>
      </c>
      <c r="E868" t="s">
        <v>811</v>
      </c>
      <c r="F868" t="s">
        <v>56</v>
      </c>
      <c r="G868">
        <v>7.7</v>
      </c>
      <c r="H868">
        <v>76</v>
      </c>
      <c r="I868" t="s">
        <v>653</v>
      </c>
      <c r="J868" s="3">
        <v>196273</v>
      </c>
      <c r="K868" t="s">
        <v>2360</v>
      </c>
      <c r="M868" s="3" t="str">
        <f>IF(I868="Billy Wilder", "Must Watch", IF(I868="John Ford", "Watch", "Maybe"))</f>
        <v>Maybe</v>
      </c>
    </row>
    <row r="869" spans="1:13" x14ac:dyDescent="0.25">
      <c r="A869">
        <v>868</v>
      </c>
      <c r="B869" t="s">
        <v>2361</v>
      </c>
      <c r="C869">
        <v>-1985</v>
      </c>
      <c r="D869" t="s">
        <v>74</v>
      </c>
      <c r="E869" t="s">
        <v>1591</v>
      </c>
      <c r="F869" t="s">
        <v>2115</v>
      </c>
      <c r="G869">
        <v>7.7</v>
      </c>
      <c r="H869">
        <v>75</v>
      </c>
      <c r="I869" t="s">
        <v>1294</v>
      </c>
      <c r="J869" s="3">
        <v>51397</v>
      </c>
      <c r="K869" t="s">
        <v>2362</v>
      </c>
      <c r="M869" s="3" t="str">
        <f>IF(I869="Billy Wilder", "Must Watch", IF(I869="John Ford", "Watch", "Maybe"))</f>
        <v>Maybe</v>
      </c>
    </row>
    <row r="870" spans="1:13" x14ac:dyDescent="0.25">
      <c r="A870">
        <v>869</v>
      </c>
      <c r="B870" t="s">
        <v>2363</v>
      </c>
      <c r="C870">
        <v>-1985</v>
      </c>
      <c r="D870">
        <v>12</v>
      </c>
      <c r="E870" t="s">
        <v>655</v>
      </c>
      <c r="F870" t="s">
        <v>1724</v>
      </c>
      <c r="G870">
        <v>7.7</v>
      </c>
      <c r="H870">
        <v>62</v>
      </c>
      <c r="I870" t="s">
        <v>2364</v>
      </c>
      <c r="J870" s="3">
        <v>267453</v>
      </c>
      <c r="K870" t="s">
        <v>2365</v>
      </c>
      <c r="M870" s="3" t="str">
        <f>IF(I870="Billy Wilder", "Must Watch", IF(I870="John Ford", "Watch", "Maybe"))</f>
        <v>Maybe</v>
      </c>
    </row>
    <row r="871" spans="1:13" x14ac:dyDescent="0.25">
      <c r="A871">
        <v>870</v>
      </c>
      <c r="B871" t="s">
        <v>2366</v>
      </c>
      <c r="C871">
        <v>-1985</v>
      </c>
      <c r="D871">
        <v>15</v>
      </c>
      <c r="E871" t="s">
        <v>59</v>
      </c>
      <c r="F871" t="s">
        <v>20</v>
      </c>
      <c r="G871">
        <v>7.7</v>
      </c>
      <c r="H871">
        <v>78</v>
      </c>
      <c r="I871" t="s">
        <v>43</v>
      </c>
      <c r="J871" s="3">
        <v>85908</v>
      </c>
      <c r="K871" t="s">
        <v>2367</v>
      </c>
      <c r="M871" s="3" t="str">
        <f>IF(I871="Billy Wilder", "Must Watch", IF(I871="John Ford", "Watch", "Maybe"))</f>
        <v>Maybe</v>
      </c>
    </row>
    <row r="872" spans="1:13" x14ac:dyDescent="0.25">
      <c r="A872">
        <v>871</v>
      </c>
      <c r="B872" t="s">
        <v>2368</v>
      </c>
      <c r="C872">
        <v>-1983</v>
      </c>
      <c r="D872" t="s">
        <v>74</v>
      </c>
      <c r="E872" t="s">
        <v>2369</v>
      </c>
      <c r="F872" t="s">
        <v>1287</v>
      </c>
      <c r="G872">
        <v>7.7</v>
      </c>
      <c r="I872" t="s">
        <v>1294</v>
      </c>
      <c r="J872" s="3">
        <v>41966</v>
      </c>
      <c r="K872" t="s">
        <v>2370</v>
      </c>
      <c r="M872" s="3" t="str">
        <f>IF(I872="Billy Wilder", "Must Watch", IF(I872="John Ford", "Watch", "Maybe"))</f>
        <v>Maybe</v>
      </c>
    </row>
    <row r="873" spans="1:13" x14ac:dyDescent="0.25">
      <c r="A873">
        <v>872</v>
      </c>
      <c r="B873" t="s">
        <v>2371</v>
      </c>
      <c r="C873">
        <v>-1982</v>
      </c>
      <c r="D873" t="s">
        <v>236</v>
      </c>
      <c r="E873" t="s">
        <v>452</v>
      </c>
      <c r="F873" t="s">
        <v>20</v>
      </c>
      <c r="G873">
        <v>7.7</v>
      </c>
      <c r="H873">
        <v>77</v>
      </c>
      <c r="I873" t="s">
        <v>51</v>
      </c>
      <c r="J873" s="3">
        <v>40044</v>
      </c>
      <c r="K873" t="s">
        <v>2372</v>
      </c>
      <c r="M873" s="3" t="str">
        <f>IF(I873="Billy Wilder", "Must Watch", IF(I873="John Ford", "Watch", "Maybe"))</f>
        <v>Maybe</v>
      </c>
    </row>
    <row r="874" spans="1:13" x14ac:dyDescent="0.25">
      <c r="A874">
        <v>873</v>
      </c>
      <c r="B874" t="s">
        <v>2373</v>
      </c>
      <c r="C874">
        <v>-1982</v>
      </c>
      <c r="D874" t="s">
        <v>30</v>
      </c>
      <c r="E874" t="s">
        <v>325</v>
      </c>
      <c r="F874" t="s">
        <v>64</v>
      </c>
      <c r="G874">
        <v>7.7</v>
      </c>
      <c r="H874">
        <v>67</v>
      </c>
      <c r="I874" t="s">
        <v>2374</v>
      </c>
      <c r="J874" s="3">
        <v>120276</v>
      </c>
      <c r="K874" t="s">
        <v>2375</v>
      </c>
      <c r="M874" s="3" t="str">
        <f>IF(I874="Billy Wilder", "Must Watch", IF(I874="John Ford", "Watch", "Maybe"))</f>
        <v>Maybe</v>
      </c>
    </row>
    <row r="875" spans="1:13" x14ac:dyDescent="0.25">
      <c r="A875">
        <v>874</v>
      </c>
      <c r="B875" t="s">
        <v>2376</v>
      </c>
      <c r="C875">
        <v>-1982</v>
      </c>
      <c r="D875">
        <v>15</v>
      </c>
      <c r="E875" t="s">
        <v>823</v>
      </c>
      <c r="F875" t="s">
        <v>1171</v>
      </c>
      <c r="G875">
        <v>7.7</v>
      </c>
      <c r="H875">
        <v>61</v>
      </c>
      <c r="I875" t="s">
        <v>2377</v>
      </c>
      <c r="J875" s="3">
        <v>247789</v>
      </c>
      <c r="K875" t="s">
        <v>2378</v>
      </c>
      <c r="M875" s="3" t="str">
        <f>IF(I875="Billy Wilder", "Must Watch", IF(I875="John Ford", "Watch", "Maybe"))</f>
        <v>Maybe</v>
      </c>
    </row>
    <row r="876" spans="1:13" x14ac:dyDescent="0.25">
      <c r="A876">
        <v>875</v>
      </c>
      <c r="B876" t="s">
        <v>2379</v>
      </c>
      <c r="C876">
        <v>-1980</v>
      </c>
      <c r="D876" t="s">
        <v>236</v>
      </c>
      <c r="E876" t="s">
        <v>99</v>
      </c>
      <c r="F876" t="s">
        <v>20</v>
      </c>
      <c r="G876">
        <v>7.7</v>
      </c>
      <c r="H876">
        <v>86</v>
      </c>
      <c r="I876" t="s">
        <v>2380</v>
      </c>
      <c r="J876" s="3">
        <v>51819</v>
      </c>
      <c r="K876" t="s">
        <v>2381</v>
      </c>
      <c r="M876" s="3" t="str">
        <f>IF(I876="Billy Wilder", "Must Watch", IF(I876="John Ford", "Watch", "Maybe"))</f>
        <v>Maybe</v>
      </c>
    </row>
    <row r="877" spans="1:13" x14ac:dyDescent="0.25">
      <c r="A877">
        <v>876</v>
      </c>
      <c r="B877" t="s">
        <v>2382</v>
      </c>
      <c r="C877">
        <v>-1980</v>
      </c>
      <c r="D877" t="s">
        <v>155</v>
      </c>
      <c r="E877" t="s">
        <v>213</v>
      </c>
      <c r="F877" t="s">
        <v>1287</v>
      </c>
      <c r="G877">
        <v>7.7</v>
      </c>
      <c r="H877">
        <v>78</v>
      </c>
      <c r="I877" t="s">
        <v>2383</v>
      </c>
      <c r="J877" s="3">
        <v>235048</v>
      </c>
      <c r="K877" t="s">
        <v>2384</v>
      </c>
      <c r="M877" s="3" t="str">
        <f>IF(I877="Billy Wilder", "Must Watch", IF(I877="John Ford", "Watch", "Maybe"))</f>
        <v>Maybe</v>
      </c>
    </row>
    <row r="878" spans="1:13" x14ac:dyDescent="0.25">
      <c r="A878">
        <v>877</v>
      </c>
      <c r="B878" t="s">
        <v>2385</v>
      </c>
      <c r="C878">
        <v>-1978</v>
      </c>
      <c r="D878" t="s">
        <v>24</v>
      </c>
      <c r="E878" t="s">
        <v>658</v>
      </c>
      <c r="F878" t="s">
        <v>1979</v>
      </c>
      <c r="G878">
        <v>7.7</v>
      </c>
      <c r="H878">
        <v>87</v>
      </c>
      <c r="I878" t="s">
        <v>648</v>
      </c>
      <c r="J878" s="3">
        <v>267420</v>
      </c>
      <c r="K878" t="s">
        <v>2386</v>
      </c>
      <c r="M878" s="3" t="str">
        <f>IF(I878="Billy Wilder", "Must Watch", IF(I878="John Ford", "Watch", "Maybe"))</f>
        <v>Maybe</v>
      </c>
    </row>
    <row r="879" spans="1:13" x14ac:dyDescent="0.25">
      <c r="A879">
        <v>878</v>
      </c>
      <c r="B879" t="s">
        <v>2387</v>
      </c>
      <c r="C879">
        <v>-1975</v>
      </c>
      <c r="D879" t="s">
        <v>236</v>
      </c>
      <c r="E879" t="s">
        <v>260</v>
      </c>
      <c r="F879" t="s">
        <v>1066</v>
      </c>
      <c r="G879">
        <v>7.7</v>
      </c>
      <c r="H879">
        <v>96</v>
      </c>
      <c r="I879" t="s">
        <v>2307</v>
      </c>
      <c r="J879" s="3">
        <v>26192</v>
      </c>
      <c r="K879" t="s">
        <v>2388</v>
      </c>
      <c r="M879" s="3" t="str">
        <f>IF(I879="Billy Wilder", "Must Watch", IF(I879="John Ford", "Watch", "Maybe"))</f>
        <v>Maybe</v>
      </c>
    </row>
    <row r="880" spans="1:13" x14ac:dyDescent="0.25">
      <c r="A880">
        <v>879</v>
      </c>
      <c r="B880" t="s">
        <v>2389</v>
      </c>
      <c r="C880">
        <v>-1975</v>
      </c>
      <c r="D880" t="s">
        <v>155</v>
      </c>
      <c r="E880" t="s">
        <v>991</v>
      </c>
      <c r="F880" t="s">
        <v>357</v>
      </c>
      <c r="G880">
        <v>7.7</v>
      </c>
      <c r="H880">
        <v>89</v>
      </c>
      <c r="I880" t="s">
        <v>1294</v>
      </c>
      <c r="J880" s="3">
        <v>38402</v>
      </c>
      <c r="M880" s="3" t="str">
        <f>IF(I880="Billy Wilder", "Must Watch", IF(I880="John Ford", "Watch", "Maybe"))</f>
        <v>Maybe</v>
      </c>
    </row>
    <row r="881" spans="1:13" x14ac:dyDescent="0.25">
      <c r="A881">
        <v>880</v>
      </c>
      <c r="B881" t="s">
        <v>2390</v>
      </c>
      <c r="C881">
        <v>-1974</v>
      </c>
      <c r="D881" t="s">
        <v>236</v>
      </c>
      <c r="E881" t="s">
        <v>823</v>
      </c>
      <c r="F881" t="s">
        <v>2391</v>
      </c>
      <c r="G881">
        <v>7.7</v>
      </c>
      <c r="H881">
        <v>73</v>
      </c>
      <c r="I881" t="s">
        <v>1301</v>
      </c>
      <c r="J881" s="3">
        <v>137421</v>
      </c>
      <c r="K881" t="s">
        <v>2392</v>
      </c>
      <c r="M881" s="3" t="str">
        <f>IF(I881="Billy Wilder", "Must Watch", IF(I881="John Ford", "Watch", "Maybe"))</f>
        <v>Maybe</v>
      </c>
    </row>
    <row r="882" spans="1:13" x14ac:dyDescent="0.25">
      <c r="A882">
        <v>881</v>
      </c>
      <c r="B882" t="s">
        <v>2393</v>
      </c>
      <c r="C882">
        <v>-1973</v>
      </c>
      <c r="D882" t="s">
        <v>24</v>
      </c>
      <c r="E882" t="s">
        <v>108</v>
      </c>
      <c r="F882" t="s">
        <v>95</v>
      </c>
      <c r="G882">
        <v>7.7</v>
      </c>
      <c r="H882">
        <v>81</v>
      </c>
      <c r="I882" t="s">
        <v>51</v>
      </c>
      <c r="J882" s="3">
        <v>121415</v>
      </c>
      <c r="K882" t="s">
        <v>2394</v>
      </c>
      <c r="M882" s="3" t="str">
        <f>IF(I882="Billy Wilder", "Must Watch", IF(I882="John Ford", "Watch", "Maybe"))</f>
        <v>Maybe</v>
      </c>
    </row>
    <row r="883" spans="1:13" x14ac:dyDescent="0.25">
      <c r="A883">
        <v>882</v>
      </c>
      <c r="B883" t="s">
        <v>2395</v>
      </c>
      <c r="C883">
        <v>-1973</v>
      </c>
      <c r="D883" t="s">
        <v>155</v>
      </c>
      <c r="E883" t="s">
        <v>1054</v>
      </c>
      <c r="F883" t="s">
        <v>2396</v>
      </c>
      <c r="G883">
        <v>7.7</v>
      </c>
      <c r="H883">
        <v>73</v>
      </c>
      <c r="I883" t="s">
        <v>2397</v>
      </c>
      <c r="J883" s="3">
        <v>30778</v>
      </c>
      <c r="K883" t="s">
        <v>1880</v>
      </c>
      <c r="M883" s="3" t="str">
        <f>IF(I883="Billy Wilder", "Must Watch", IF(I883="John Ford", "Watch", "Maybe"))</f>
        <v>Maybe</v>
      </c>
    </row>
    <row r="884" spans="1:13" x14ac:dyDescent="0.25">
      <c r="A884">
        <v>883</v>
      </c>
      <c r="B884" t="s">
        <v>2398</v>
      </c>
      <c r="C884">
        <v>-1973</v>
      </c>
      <c r="D884" t="s">
        <v>24</v>
      </c>
      <c r="E884" t="s">
        <v>1057</v>
      </c>
      <c r="F884" t="s">
        <v>32</v>
      </c>
      <c r="G884">
        <v>7.7</v>
      </c>
      <c r="H884">
        <v>93</v>
      </c>
      <c r="I884" t="s">
        <v>1977</v>
      </c>
      <c r="J884" s="3">
        <v>72380</v>
      </c>
      <c r="M884" s="3" t="str">
        <f>IF(I884="Billy Wilder", "Must Watch", IF(I884="John Ford", "Watch", "Maybe"))</f>
        <v>Maybe</v>
      </c>
    </row>
    <row r="885" spans="1:13" x14ac:dyDescent="0.25">
      <c r="A885">
        <v>884</v>
      </c>
      <c r="B885" t="s">
        <v>2399</v>
      </c>
      <c r="C885">
        <v>-1972</v>
      </c>
      <c r="D885">
        <v>18</v>
      </c>
      <c r="E885" t="s">
        <v>241</v>
      </c>
      <c r="F885" t="s">
        <v>688</v>
      </c>
      <c r="G885">
        <v>7.7</v>
      </c>
      <c r="H885">
        <v>80</v>
      </c>
      <c r="I885" t="s">
        <v>2400</v>
      </c>
      <c r="J885" s="3">
        <v>107344</v>
      </c>
      <c r="K885" t="s">
        <v>2401</v>
      </c>
      <c r="M885" s="3" t="str">
        <f>IF(I885="Billy Wilder", "Must Watch", IF(I885="John Ford", "Watch", "Maybe"))</f>
        <v>Maybe</v>
      </c>
    </row>
    <row r="886" spans="1:13" x14ac:dyDescent="0.25">
      <c r="A886">
        <v>885</v>
      </c>
      <c r="B886" t="s">
        <v>2402</v>
      </c>
      <c r="C886">
        <v>-1972</v>
      </c>
      <c r="D886" t="s">
        <v>24</v>
      </c>
      <c r="E886" t="s">
        <v>99</v>
      </c>
      <c r="F886" t="s">
        <v>1973</v>
      </c>
      <c r="G886">
        <v>7.7</v>
      </c>
      <c r="H886">
        <v>80</v>
      </c>
      <c r="I886" t="s">
        <v>1974</v>
      </c>
      <c r="J886" s="3">
        <v>54495</v>
      </c>
      <c r="K886" t="s">
        <v>2403</v>
      </c>
      <c r="M886" s="3" t="str">
        <f>IF(I886="Billy Wilder", "Must Watch", IF(I886="John Ford", "Watch", "Maybe"))</f>
        <v>Maybe</v>
      </c>
    </row>
    <row r="887" spans="1:13" x14ac:dyDescent="0.25">
      <c r="A887">
        <v>886</v>
      </c>
      <c r="B887" t="s">
        <v>2404</v>
      </c>
      <c r="C887">
        <v>-1971</v>
      </c>
      <c r="D887" t="s">
        <v>24</v>
      </c>
      <c r="E887" t="s">
        <v>418</v>
      </c>
      <c r="F887" t="s">
        <v>32</v>
      </c>
      <c r="G887">
        <v>7.7</v>
      </c>
      <c r="H887">
        <v>94</v>
      </c>
      <c r="I887" t="s">
        <v>983</v>
      </c>
      <c r="J887" s="3">
        <v>121400</v>
      </c>
      <c r="K887" t="s">
        <v>2405</v>
      </c>
      <c r="M887" s="3" t="str">
        <f>IF(I887="Billy Wilder", "Must Watch", IF(I887="John Ford", "Watch", "Maybe"))</f>
        <v>Maybe</v>
      </c>
    </row>
    <row r="888" spans="1:13" x14ac:dyDescent="0.25">
      <c r="A888">
        <v>887</v>
      </c>
      <c r="B888" t="s">
        <v>2406</v>
      </c>
      <c r="C888">
        <v>-1971</v>
      </c>
      <c r="D888" t="s">
        <v>24</v>
      </c>
      <c r="E888" t="s">
        <v>249</v>
      </c>
      <c r="F888" t="s">
        <v>1175</v>
      </c>
      <c r="G888">
        <v>7.7</v>
      </c>
      <c r="H888">
        <v>87</v>
      </c>
      <c r="I888" t="s">
        <v>2407</v>
      </c>
      <c r="J888" s="3">
        <v>154777</v>
      </c>
      <c r="K888" t="s">
        <v>2408</v>
      </c>
      <c r="M888" s="3" t="str">
        <f>IF(I888="Billy Wilder", "Must Watch", IF(I888="John Ford", "Watch", "Maybe"))</f>
        <v>Maybe</v>
      </c>
    </row>
    <row r="889" spans="1:13" x14ac:dyDescent="0.25">
      <c r="A889">
        <v>888</v>
      </c>
      <c r="B889" t="s">
        <v>2409</v>
      </c>
      <c r="C889">
        <v>-1967</v>
      </c>
      <c r="D889" t="s">
        <v>24</v>
      </c>
      <c r="E889" t="s">
        <v>409</v>
      </c>
      <c r="F889" t="s">
        <v>2410</v>
      </c>
      <c r="G889">
        <v>7.7</v>
      </c>
      <c r="H889">
        <v>81</v>
      </c>
      <c r="I889" t="s">
        <v>2411</v>
      </c>
      <c r="J889" s="3">
        <v>30454</v>
      </c>
      <c r="K889" t="s">
        <v>2412</v>
      </c>
      <c r="M889" s="3" t="str">
        <f>IF(I889="Billy Wilder", "Must Watch", IF(I889="John Ford", "Watch", "Maybe"))</f>
        <v>Maybe</v>
      </c>
    </row>
    <row r="890" spans="1:13" x14ac:dyDescent="0.25">
      <c r="A890">
        <v>889</v>
      </c>
      <c r="B890" t="s">
        <v>2413</v>
      </c>
      <c r="C890">
        <v>-1967</v>
      </c>
      <c r="D890" t="s">
        <v>24</v>
      </c>
      <c r="E890" t="s">
        <v>193</v>
      </c>
      <c r="F890" t="s">
        <v>2414</v>
      </c>
      <c r="G890">
        <v>7.7</v>
      </c>
      <c r="H890">
        <v>73</v>
      </c>
      <c r="I890" t="s">
        <v>1338</v>
      </c>
      <c r="J890" s="3">
        <v>72478</v>
      </c>
      <c r="K890" t="s">
        <v>2415</v>
      </c>
      <c r="M890" s="3" t="str">
        <f>IF(I890="Billy Wilder", "Must Watch", IF(I890="John Ford", "Watch", "Maybe"))</f>
        <v>Maybe</v>
      </c>
    </row>
    <row r="891" spans="1:13" x14ac:dyDescent="0.25">
      <c r="A891">
        <v>890</v>
      </c>
      <c r="B891" t="s">
        <v>2416</v>
      </c>
      <c r="C891">
        <v>-1967</v>
      </c>
      <c r="D891" t="s">
        <v>24</v>
      </c>
      <c r="E891" t="s">
        <v>610</v>
      </c>
      <c r="F891" t="s">
        <v>553</v>
      </c>
      <c r="G891">
        <v>7.7</v>
      </c>
      <c r="H891">
        <v>86</v>
      </c>
      <c r="I891" t="s">
        <v>2417</v>
      </c>
      <c r="J891" s="3">
        <v>111858</v>
      </c>
      <c r="M891" s="3" t="str">
        <f>IF(I891="Billy Wilder", "Must Watch", IF(I891="John Ford", "Watch", "Maybe"))</f>
        <v>Maybe</v>
      </c>
    </row>
    <row r="892" spans="1:13" x14ac:dyDescent="0.25">
      <c r="A892">
        <v>891</v>
      </c>
      <c r="B892" t="s">
        <v>2418</v>
      </c>
      <c r="C892">
        <v>-1967</v>
      </c>
      <c r="D892" t="s">
        <v>24</v>
      </c>
      <c r="E892" t="s">
        <v>613</v>
      </c>
      <c r="F892" t="s">
        <v>78</v>
      </c>
      <c r="G892">
        <v>7.7</v>
      </c>
      <c r="I892" t="s">
        <v>1335</v>
      </c>
      <c r="J892" s="3">
        <v>44120</v>
      </c>
      <c r="K892" t="s">
        <v>502</v>
      </c>
      <c r="M892" s="3" t="str">
        <f>IF(I892="Billy Wilder", "Must Watch", IF(I892="John Ford", "Watch", "Maybe"))</f>
        <v>Maybe</v>
      </c>
    </row>
    <row r="893" spans="1:13" x14ac:dyDescent="0.25">
      <c r="A893">
        <v>892</v>
      </c>
      <c r="B893" t="s">
        <v>2419</v>
      </c>
      <c r="C893">
        <v>-1966</v>
      </c>
      <c r="D893" t="s">
        <v>49</v>
      </c>
      <c r="E893" t="s">
        <v>811</v>
      </c>
      <c r="F893" t="s">
        <v>42</v>
      </c>
      <c r="G893">
        <v>7.7</v>
      </c>
      <c r="H893">
        <v>72</v>
      </c>
      <c r="I893" t="s">
        <v>1366</v>
      </c>
      <c r="J893" s="3">
        <v>34420</v>
      </c>
      <c r="K893" t="s">
        <v>2420</v>
      </c>
      <c r="M893" s="3" t="str">
        <f>IF(I893="Billy Wilder", "Must Watch", IF(I893="John Ford", "Watch", "Maybe"))</f>
        <v>Maybe</v>
      </c>
    </row>
    <row r="894" spans="1:13" x14ac:dyDescent="0.25">
      <c r="A894">
        <v>893</v>
      </c>
      <c r="B894" t="s">
        <v>2421</v>
      </c>
      <c r="C894">
        <v>-1964</v>
      </c>
      <c r="D894" t="s">
        <v>74</v>
      </c>
      <c r="E894" t="s">
        <v>515</v>
      </c>
      <c r="F894" t="s">
        <v>1602</v>
      </c>
      <c r="G894">
        <v>7.7</v>
      </c>
      <c r="H894">
        <v>77</v>
      </c>
      <c r="I894" t="s">
        <v>2422</v>
      </c>
      <c r="J894" s="3">
        <v>39050</v>
      </c>
      <c r="M894" s="3" t="str">
        <f>IF(I894="Billy Wilder", "Must Watch", IF(I894="John Ford", "Watch", "Maybe"))</f>
        <v>Maybe</v>
      </c>
    </row>
    <row r="895" spans="1:13" x14ac:dyDescent="0.25">
      <c r="A895">
        <v>894</v>
      </c>
      <c r="B895" t="s">
        <v>2423</v>
      </c>
      <c r="C895">
        <v>-1964</v>
      </c>
      <c r="D895" t="s">
        <v>74</v>
      </c>
      <c r="E895" t="s">
        <v>209</v>
      </c>
      <c r="F895" t="s">
        <v>1171</v>
      </c>
      <c r="G895">
        <v>7.7</v>
      </c>
      <c r="H895">
        <v>87</v>
      </c>
      <c r="I895" t="s">
        <v>2424</v>
      </c>
      <c r="J895" s="3">
        <v>188360</v>
      </c>
      <c r="K895" t="s">
        <v>2425</v>
      </c>
      <c r="M895" s="3" t="str">
        <f>IF(I895="Billy Wilder", "Must Watch", IF(I895="John Ford", "Watch", "Maybe"))</f>
        <v>Maybe</v>
      </c>
    </row>
    <row r="896" spans="1:13" x14ac:dyDescent="0.25">
      <c r="A896">
        <v>895</v>
      </c>
      <c r="B896" t="s">
        <v>2426</v>
      </c>
      <c r="C896">
        <v>-1962</v>
      </c>
      <c r="D896" t="s">
        <v>155</v>
      </c>
      <c r="E896" t="s">
        <v>75</v>
      </c>
      <c r="F896" t="s">
        <v>516</v>
      </c>
      <c r="G896">
        <v>7.7</v>
      </c>
      <c r="H896">
        <v>75</v>
      </c>
      <c r="I896" t="s">
        <v>2427</v>
      </c>
      <c r="J896" s="3">
        <v>55628</v>
      </c>
      <c r="K896" t="s">
        <v>2428</v>
      </c>
      <c r="M896" s="3" t="str">
        <f>IF(I896="Billy Wilder", "Must Watch", IF(I896="John Ford", "Watch", "Maybe"))</f>
        <v>Maybe</v>
      </c>
    </row>
    <row r="897" spans="1:13" x14ac:dyDescent="0.25">
      <c r="A897">
        <v>896</v>
      </c>
      <c r="B897" t="s">
        <v>2429</v>
      </c>
      <c r="C897">
        <v>-1962</v>
      </c>
      <c r="D897" t="s">
        <v>24</v>
      </c>
      <c r="E897" t="s">
        <v>171</v>
      </c>
      <c r="F897" t="s">
        <v>756</v>
      </c>
      <c r="G897">
        <v>7.7</v>
      </c>
      <c r="H897">
        <v>76</v>
      </c>
      <c r="I897" t="s">
        <v>2430</v>
      </c>
      <c r="J897" s="3">
        <v>29043</v>
      </c>
      <c r="M897" s="3" t="str">
        <f>IF(I897="Billy Wilder", "Must Watch", IF(I897="John Ford", "Watch", "Maybe"))</f>
        <v>Maybe</v>
      </c>
    </row>
    <row r="898" spans="1:13" x14ac:dyDescent="0.25">
      <c r="A898">
        <v>897</v>
      </c>
      <c r="B898" t="s">
        <v>2431</v>
      </c>
      <c r="C898">
        <v>-1962</v>
      </c>
      <c r="D898" t="s">
        <v>24</v>
      </c>
      <c r="E898" t="s">
        <v>291</v>
      </c>
      <c r="F898" t="s">
        <v>78</v>
      </c>
      <c r="G898">
        <v>7.7</v>
      </c>
      <c r="H898">
        <v>97</v>
      </c>
      <c r="I898" t="s">
        <v>1003</v>
      </c>
      <c r="J898" s="3">
        <v>41167</v>
      </c>
      <c r="M898" s="3" t="str">
        <f>IF(I898="Billy Wilder", "Must Watch", IF(I898="John Ford", "Watch", "Maybe"))</f>
        <v>Maybe</v>
      </c>
    </row>
    <row r="899" spans="1:13" x14ac:dyDescent="0.25">
      <c r="A899">
        <v>898</v>
      </c>
      <c r="B899" t="s">
        <v>2432</v>
      </c>
      <c r="C899">
        <v>-1960</v>
      </c>
      <c r="D899" t="s">
        <v>49</v>
      </c>
      <c r="E899" t="s">
        <v>477</v>
      </c>
      <c r="F899" t="s">
        <v>1620</v>
      </c>
      <c r="G899">
        <v>7.7</v>
      </c>
      <c r="H899">
        <v>74</v>
      </c>
      <c r="I899" t="s">
        <v>673</v>
      </c>
      <c r="J899" s="3">
        <v>94218</v>
      </c>
      <c r="K899" t="s">
        <v>2433</v>
      </c>
      <c r="M899" s="3" t="str">
        <f>IF(I899="Billy Wilder", "Must Watch", IF(I899="John Ford", "Watch", "Maybe"))</f>
        <v>Maybe</v>
      </c>
    </row>
    <row r="900" spans="1:13" x14ac:dyDescent="0.25">
      <c r="A900">
        <v>899</v>
      </c>
      <c r="B900" t="s">
        <v>2434</v>
      </c>
      <c r="C900">
        <v>-1960</v>
      </c>
      <c r="D900" t="s">
        <v>24</v>
      </c>
      <c r="E900" t="s">
        <v>1244</v>
      </c>
      <c r="F900" t="s">
        <v>26</v>
      </c>
      <c r="G900">
        <v>7.7</v>
      </c>
      <c r="I900" t="s">
        <v>1640</v>
      </c>
      <c r="J900" s="3">
        <v>80234</v>
      </c>
      <c r="K900" t="s">
        <v>736</v>
      </c>
      <c r="M900" s="3" t="str">
        <f>IF(I900="Billy Wilder", "Must Watch", IF(I900="John Ford", "Watch", "Maybe"))</f>
        <v>Maybe</v>
      </c>
    </row>
    <row r="901" spans="1:13" x14ac:dyDescent="0.25">
      <c r="A901">
        <v>900</v>
      </c>
      <c r="B901" t="s">
        <v>2435</v>
      </c>
      <c r="C901">
        <v>-1956</v>
      </c>
      <c r="D901" t="s">
        <v>74</v>
      </c>
      <c r="E901" t="s">
        <v>851</v>
      </c>
      <c r="F901" t="s">
        <v>2039</v>
      </c>
      <c r="G901">
        <v>7.7</v>
      </c>
      <c r="H901">
        <v>92</v>
      </c>
      <c r="I901" t="s">
        <v>2407</v>
      </c>
      <c r="J901" s="3">
        <v>49321</v>
      </c>
      <c r="M901" s="3" t="str">
        <f>IF(I901="Billy Wilder", "Must Watch", IF(I901="John Ford", "Watch", "Maybe"))</f>
        <v>Maybe</v>
      </c>
    </row>
    <row r="902" spans="1:13" x14ac:dyDescent="0.25">
      <c r="A902">
        <v>901</v>
      </c>
      <c r="B902" t="s">
        <v>2436</v>
      </c>
      <c r="C902">
        <v>-1954</v>
      </c>
      <c r="D902" t="s">
        <v>49</v>
      </c>
      <c r="E902" t="s">
        <v>99</v>
      </c>
      <c r="F902" t="s">
        <v>124</v>
      </c>
      <c r="G902">
        <v>7.7</v>
      </c>
      <c r="H902">
        <v>63</v>
      </c>
      <c r="I902" t="s">
        <v>2437</v>
      </c>
      <c r="J902" s="3">
        <v>27500</v>
      </c>
      <c r="K902" t="s">
        <v>2438</v>
      </c>
      <c r="M902" s="3" t="str">
        <f>IF(I902="Billy Wilder", "Must Watch", IF(I902="John Ford", "Watch", "Maybe"))</f>
        <v>Maybe</v>
      </c>
    </row>
    <row r="903" spans="1:13" x14ac:dyDescent="0.25">
      <c r="A903">
        <v>902</v>
      </c>
      <c r="B903" t="s">
        <v>2439</v>
      </c>
      <c r="C903">
        <v>-1952</v>
      </c>
      <c r="D903" t="s">
        <v>49</v>
      </c>
      <c r="E903" t="s">
        <v>452</v>
      </c>
      <c r="F903" t="s">
        <v>132</v>
      </c>
      <c r="G903">
        <v>7.7</v>
      </c>
      <c r="H903">
        <v>85</v>
      </c>
      <c r="I903" t="s">
        <v>998</v>
      </c>
      <c r="J903" s="3">
        <v>38500</v>
      </c>
      <c r="K903" t="s">
        <v>2440</v>
      </c>
      <c r="M903" s="3" t="str">
        <f>IF(I903="Billy Wilder", "Must Watch", IF(I903="John Ford", "Watch", "Maybe"))</f>
        <v>Watch</v>
      </c>
    </row>
    <row r="904" spans="1:13" x14ac:dyDescent="0.25">
      <c r="A904">
        <v>903</v>
      </c>
      <c r="B904" t="s">
        <v>2441</v>
      </c>
      <c r="C904">
        <v>-1951</v>
      </c>
      <c r="D904" t="s">
        <v>49</v>
      </c>
      <c r="E904" t="s">
        <v>291</v>
      </c>
      <c r="F904" t="s">
        <v>1890</v>
      </c>
      <c r="G904">
        <v>7.7</v>
      </c>
      <c r="H904">
        <v>91</v>
      </c>
      <c r="I904" t="s">
        <v>698</v>
      </c>
      <c r="J904" s="3">
        <v>78163</v>
      </c>
      <c r="K904" t="s">
        <v>482</v>
      </c>
      <c r="M904" s="3" t="str">
        <f>IF(I904="Billy Wilder", "Must Watch", IF(I904="John Ford", "Watch", "Maybe"))</f>
        <v>Maybe</v>
      </c>
    </row>
    <row r="905" spans="1:13" x14ac:dyDescent="0.25">
      <c r="A905">
        <v>904</v>
      </c>
      <c r="B905" t="s">
        <v>2442</v>
      </c>
      <c r="C905">
        <v>-1948</v>
      </c>
      <c r="D905" t="s">
        <v>74</v>
      </c>
      <c r="E905" t="s">
        <v>613</v>
      </c>
      <c r="F905" t="s">
        <v>32</v>
      </c>
      <c r="G905">
        <v>7.7</v>
      </c>
      <c r="I905" t="s">
        <v>698</v>
      </c>
      <c r="J905" s="3">
        <v>40559</v>
      </c>
      <c r="M905" s="3" t="str">
        <f>IF(I905="Billy Wilder", "Must Watch", IF(I905="John Ford", "Watch", "Maybe"))</f>
        <v>Maybe</v>
      </c>
    </row>
    <row r="906" spans="1:13" x14ac:dyDescent="0.25">
      <c r="A906">
        <v>905</v>
      </c>
      <c r="B906" t="s">
        <v>2443</v>
      </c>
      <c r="C906">
        <v>-1940</v>
      </c>
      <c r="D906" t="s">
        <v>49</v>
      </c>
      <c r="E906" t="s">
        <v>119</v>
      </c>
      <c r="F906" t="s">
        <v>1252</v>
      </c>
      <c r="G906">
        <v>7.7</v>
      </c>
      <c r="H906">
        <v>96</v>
      </c>
      <c r="I906" t="s">
        <v>2444</v>
      </c>
      <c r="J906" s="3">
        <v>95266</v>
      </c>
      <c r="K906" t="s">
        <v>2445</v>
      </c>
      <c r="M906" s="3" t="str">
        <f>IF(I906="Billy Wilder", "Must Watch", IF(I906="John Ford", "Watch", "Maybe"))</f>
        <v>Maybe</v>
      </c>
    </row>
    <row r="907" spans="1:13" x14ac:dyDescent="0.25">
      <c r="A907">
        <v>906</v>
      </c>
      <c r="B907" t="s">
        <v>445</v>
      </c>
      <c r="C907">
        <v>-1932</v>
      </c>
      <c r="D907" t="s">
        <v>155</v>
      </c>
      <c r="E907" t="s">
        <v>823</v>
      </c>
      <c r="F907" t="s">
        <v>32</v>
      </c>
      <c r="G907">
        <v>7.7</v>
      </c>
      <c r="H907">
        <v>87</v>
      </c>
      <c r="I907" t="s">
        <v>1348</v>
      </c>
      <c r="J907" s="3">
        <v>27790</v>
      </c>
      <c r="M907" s="3" t="str">
        <f>IF(I907="Billy Wilder", "Must Watch", IF(I907="John Ford", "Watch", "Maybe"))</f>
        <v>Maybe</v>
      </c>
    </row>
    <row r="908" spans="1:13" x14ac:dyDescent="0.25">
      <c r="A908">
        <v>907</v>
      </c>
      <c r="B908" t="s">
        <v>2446</v>
      </c>
      <c r="C908">
        <v>-2019</v>
      </c>
      <c r="D908" t="s">
        <v>30</v>
      </c>
      <c r="E908" t="s">
        <v>263</v>
      </c>
      <c r="F908" t="s">
        <v>42</v>
      </c>
      <c r="G908">
        <v>7.6</v>
      </c>
      <c r="H908">
        <v>73</v>
      </c>
      <c r="I908" t="s">
        <v>2447</v>
      </c>
      <c r="J908" s="3">
        <v>85490</v>
      </c>
      <c r="M908" s="3" t="str">
        <f>IF(I908="Billy Wilder", "Must Watch", IF(I908="John Ford", "Watch", "Maybe"))</f>
        <v>Maybe</v>
      </c>
    </row>
    <row r="909" spans="1:13" x14ac:dyDescent="0.25">
      <c r="A909">
        <v>908</v>
      </c>
      <c r="B909" t="s">
        <v>2448</v>
      </c>
      <c r="C909">
        <v>-2021</v>
      </c>
      <c r="D909" t="s">
        <v>49</v>
      </c>
      <c r="E909" t="s">
        <v>655</v>
      </c>
      <c r="F909" t="s">
        <v>292</v>
      </c>
      <c r="G909">
        <v>7.6</v>
      </c>
      <c r="H909">
        <v>81</v>
      </c>
      <c r="I909" t="s">
        <v>2449</v>
      </c>
      <c r="J909" s="3">
        <v>103134</v>
      </c>
      <c r="M909" s="3" t="str">
        <f>IF(I909="Billy Wilder", "Must Watch", IF(I909="John Ford", "Watch", "Maybe"))</f>
        <v>Maybe</v>
      </c>
    </row>
    <row r="910" spans="1:13" x14ac:dyDescent="0.25">
      <c r="A910">
        <v>909</v>
      </c>
      <c r="B910" t="s">
        <v>2450</v>
      </c>
      <c r="C910" t="s">
        <v>2451</v>
      </c>
      <c r="D910" t="s">
        <v>30</v>
      </c>
      <c r="E910" t="s">
        <v>249</v>
      </c>
      <c r="F910" t="s">
        <v>317</v>
      </c>
      <c r="G910">
        <v>7.6</v>
      </c>
      <c r="H910">
        <v>71</v>
      </c>
      <c r="I910" t="s">
        <v>2452</v>
      </c>
      <c r="J910" s="3">
        <v>159908</v>
      </c>
      <c r="K910" t="s">
        <v>2453</v>
      </c>
      <c r="M910" s="3" t="str">
        <f>IF(I910="Billy Wilder", "Must Watch", IF(I910="John Ford", "Watch", "Maybe"))</f>
        <v>Maybe</v>
      </c>
    </row>
    <row r="911" spans="1:13" x14ac:dyDescent="0.25">
      <c r="A911">
        <v>910</v>
      </c>
      <c r="B911" t="s">
        <v>2454</v>
      </c>
      <c r="C911">
        <v>-2019</v>
      </c>
      <c r="D911">
        <v>18</v>
      </c>
      <c r="E911" t="s">
        <v>376</v>
      </c>
      <c r="F911" t="s">
        <v>304</v>
      </c>
      <c r="G911">
        <v>7.6</v>
      </c>
      <c r="H911">
        <v>83</v>
      </c>
      <c r="I911" t="s">
        <v>60</v>
      </c>
      <c r="J911" s="3">
        <v>696005</v>
      </c>
      <c r="K911" t="s">
        <v>2455</v>
      </c>
      <c r="M911" s="3" t="str">
        <f>IF(I911="Billy Wilder", "Must Watch", IF(I911="John Ford", "Watch", "Maybe"))</f>
        <v>Maybe</v>
      </c>
    </row>
    <row r="912" spans="1:13" x14ac:dyDescent="0.25">
      <c r="A912">
        <v>911</v>
      </c>
      <c r="B912" t="s">
        <v>2456</v>
      </c>
      <c r="C912">
        <v>-2017</v>
      </c>
      <c r="D912" t="s">
        <v>30</v>
      </c>
      <c r="E912" t="s">
        <v>89</v>
      </c>
      <c r="F912" t="s">
        <v>371</v>
      </c>
      <c r="G912">
        <v>7.6</v>
      </c>
      <c r="H912">
        <v>67</v>
      </c>
      <c r="I912" t="s">
        <v>1097</v>
      </c>
      <c r="J912" s="3">
        <v>657022</v>
      </c>
      <c r="K912" t="s">
        <v>2457</v>
      </c>
      <c r="M912" s="3" t="str">
        <f>IF(I912="Billy Wilder", "Must Watch", IF(I912="John Ford", "Watch", "Maybe"))</f>
        <v>Maybe</v>
      </c>
    </row>
    <row r="913" spans="1:13" x14ac:dyDescent="0.25">
      <c r="A913">
        <v>912</v>
      </c>
      <c r="B913" t="s">
        <v>2458</v>
      </c>
      <c r="C913">
        <v>-2015</v>
      </c>
      <c r="D913" t="s">
        <v>30</v>
      </c>
      <c r="E913" t="s">
        <v>19</v>
      </c>
      <c r="F913" t="s">
        <v>1248</v>
      </c>
      <c r="G913">
        <v>7.6</v>
      </c>
      <c r="H913">
        <v>81</v>
      </c>
      <c r="I913" t="s">
        <v>43</v>
      </c>
      <c r="J913" s="3">
        <v>307545</v>
      </c>
      <c r="K913" t="s">
        <v>2459</v>
      </c>
      <c r="M913" s="3" t="str">
        <f>IF(I913="Billy Wilder", "Must Watch", IF(I913="John Ford", "Watch", "Maybe"))</f>
        <v>Maybe</v>
      </c>
    </row>
    <row r="914" spans="1:13" x14ac:dyDescent="0.25">
      <c r="A914">
        <v>913</v>
      </c>
      <c r="B914" t="s">
        <v>2460</v>
      </c>
      <c r="C914">
        <v>-2018</v>
      </c>
      <c r="D914" t="s">
        <v>74</v>
      </c>
      <c r="E914" t="s">
        <v>143</v>
      </c>
      <c r="F914" t="s">
        <v>279</v>
      </c>
      <c r="G914">
        <v>7.6</v>
      </c>
      <c r="H914">
        <v>80</v>
      </c>
      <c r="I914" t="s">
        <v>848</v>
      </c>
      <c r="J914" s="3">
        <v>288184</v>
      </c>
      <c r="K914" t="s">
        <v>2461</v>
      </c>
      <c r="M914" s="3" t="str">
        <f>IF(I914="Billy Wilder", "Must Watch", IF(I914="John Ford", "Watch", "Maybe"))</f>
        <v>Maybe</v>
      </c>
    </row>
    <row r="915" spans="1:13" x14ac:dyDescent="0.25">
      <c r="A915">
        <v>914</v>
      </c>
      <c r="B915" t="s">
        <v>2462</v>
      </c>
      <c r="C915" t="s">
        <v>2463</v>
      </c>
      <c r="D915" t="s">
        <v>74</v>
      </c>
      <c r="E915" t="s">
        <v>493</v>
      </c>
      <c r="F915" t="s">
        <v>292</v>
      </c>
      <c r="G915">
        <v>7.6</v>
      </c>
      <c r="H915">
        <v>81</v>
      </c>
      <c r="I915" t="s">
        <v>1245</v>
      </c>
      <c r="J915" s="3">
        <v>324190</v>
      </c>
      <c r="K915" t="s">
        <v>2464</v>
      </c>
      <c r="M915" s="3" t="str">
        <f>IF(I915="Billy Wilder", "Must Watch", IF(I915="John Ford", "Watch", "Maybe"))</f>
        <v>Maybe</v>
      </c>
    </row>
    <row r="916" spans="1:13" x14ac:dyDescent="0.25">
      <c r="A916">
        <v>915</v>
      </c>
      <c r="B916" t="s">
        <v>2465</v>
      </c>
      <c r="C916">
        <v>-2014</v>
      </c>
      <c r="D916">
        <v>15</v>
      </c>
      <c r="E916" t="s">
        <v>890</v>
      </c>
      <c r="F916" t="s">
        <v>1500</v>
      </c>
      <c r="G916">
        <v>7.6</v>
      </c>
      <c r="H916">
        <v>76</v>
      </c>
      <c r="I916" t="s">
        <v>2466</v>
      </c>
      <c r="J916" s="3">
        <v>179651</v>
      </c>
      <c r="K916" t="s">
        <v>1269</v>
      </c>
      <c r="M916" s="3" t="str">
        <f>IF(I916="Billy Wilder", "Must Watch", IF(I916="John Ford", "Watch", "Maybe"))</f>
        <v>Maybe</v>
      </c>
    </row>
    <row r="917" spans="1:13" x14ac:dyDescent="0.25">
      <c r="A917">
        <v>916</v>
      </c>
      <c r="B917" t="s">
        <v>2467</v>
      </c>
      <c r="C917">
        <v>-2015</v>
      </c>
      <c r="D917">
        <v>15</v>
      </c>
      <c r="E917" t="s">
        <v>148</v>
      </c>
      <c r="F917" t="s">
        <v>32</v>
      </c>
      <c r="G917">
        <v>7.6</v>
      </c>
      <c r="H917">
        <v>82</v>
      </c>
      <c r="I917" t="s">
        <v>390</v>
      </c>
      <c r="J917" s="3">
        <v>419783</v>
      </c>
      <c r="K917" t="s">
        <v>2468</v>
      </c>
      <c r="M917" s="3" t="str">
        <f>IF(I917="Billy Wilder", "Must Watch", IF(I917="John Ford", "Watch", "Maybe"))</f>
        <v>Maybe</v>
      </c>
    </row>
    <row r="918" spans="1:13" x14ac:dyDescent="0.25">
      <c r="A918">
        <v>917</v>
      </c>
      <c r="B918" t="s">
        <v>2469</v>
      </c>
      <c r="C918" t="s">
        <v>2470</v>
      </c>
      <c r="D918" t="s">
        <v>30</v>
      </c>
      <c r="E918" t="s">
        <v>104</v>
      </c>
      <c r="F918" t="s">
        <v>562</v>
      </c>
      <c r="G918">
        <v>7.6</v>
      </c>
      <c r="H918">
        <v>82</v>
      </c>
      <c r="I918" t="s">
        <v>2471</v>
      </c>
      <c r="J918" s="3">
        <v>268802</v>
      </c>
      <c r="K918" t="s">
        <v>2472</v>
      </c>
      <c r="M918" s="3" t="str">
        <f>IF(I918="Billy Wilder", "Must Watch", IF(I918="John Ford", "Watch", "Maybe"))</f>
        <v>Maybe</v>
      </c>
    </row>
    <row r="919" spans="1:13" x14ac:dyDescent="0.25">
      <c r="A919">
        <v>918</v>
      </c>
      <c r="B919" t="s">
        <v>2473</v>
      </c>
      <c r="C919">
        <v>-2014</v>
      </c>
      <c r="D919">
        <v>15</v>
      </c>
      <c r="E919" t="s">
        <v>561</v>
      </c>
      <c r="F919" t="s">
        <v>26</v>
      </c>
      <c r="G919">
        <v>7.6</v>
      </c>
      <c r="H919">
        <v>92</v>
      </c>
      <c r="I919" t="s">
        <v>1495</v>
      </c>
      <c r="J919" s="3">
        <v>53213</v>
      </c>
      <c r="K919" t="s">
        <v>1024</v>
      </c>
      <c r="M919" s="3" t="str">
        <f>IF(I919="Billy Wilder", "Must Watch", IF(I919="John Ford", "Watch", "Maybe"))</f>
        <v>Maybe</v>
      </c>
    </row>
    <row r="920" spans="1:13" x14ac:dyDescent="0.25">
      <c r="A920">
        <v>919</v>
      </c>
      <c r="B920" t="s">
        <v>2474</v>
      </c>
      <c r="C920" t="s">
        <v>1416</v>
      </c>
      <c r="D920">
        <v>15</v>
      </c>
      <c r="E920" t="s">
        <v>249</v>
      </c>
      <c r="F920" t="s">
        <v>144</v>
      </c>
      <c r="G920">
        <v>7.6</v>
      </c>
      <c r="H920">
        <v>88</v>
      </c>
      <c r="I920" t="s">
        <v>2475</v>
      </c>
      <c r="J920" s="3">
        <v>226869</v>
      </c>
      <c r="K920" t="s">
        <v>2476</v>
      </c>
      <c r="M920" s="3" t="str">
        <f>IF(I920="Billy Wilder", "Must Watch", IF(I920="John Ford", "Watch", "Maybe"))</f>
        <v>Maybe</v>
      </c>
    </row>
    <row r="921" spans="1:13" x14ac:dyDescent="0.25">
      <c r="A921">
        <v>920</v>
      </c>
      <c r="B921" t="s">
        <v>2477</v>
      </c>
      <c r="C921">
        <v>-2013</v>
      </c>
      <c r="D921" t="s">
        <v>30</v>
      </c>
      <c r="E921" t="s">
        <v>313</v>
      </c>
      <c r="F921" t="s">
        <v>177</v>
      </c>
      <c r="G921">
        <v>7.6</v>
      </c>
      <c r="H921">
        <v>77</v>
      </c>
      <c r="I921" t="s">
        <v>2478</v>
      </c>
      <c r="J921" s="3">
        <v>99614</v>
      </c>
      <c r="K921" t="s">
        <v>2479</v>
      </c>
      <c r="M921" s="3" t="str">
        <f>IF(I921="Billy Wilder", "Must Watch", IF(I921="John Ford", "Watch", "Maybe"))</f>
        <v>Maybe</v>
      </c>
    </row>
    <row r="922" spans="1:13" x14ac:dyDescent="0.25">
      <c r="A922">
        <v>921</v>
      </c>
      <c r="B922" t="s">
        <v>2480</v>
      </c>
      <c r="C922">
        <v>-2014</v>
      </c>
      <c r="D922" t="s">
        <v>30</v>
      </c>
      <c r="E922" t="s">
        <v>108</v>
      </c>
      <c r="F922" t="s">
        <v>37</v>
      </c>
      <c r="G922">
        <v>7.6</v>
      </c>
      <c r="H922">
        <v>79</v>
      </c>
      <c r="I922" t="s">
        <v>1432</v>
      </c>
      <c r="J922" s="3">
        <v>435946</v>
      </c>
      <c r="K922" t="s">
        <v>2481</v>
      </c>
      <c r="M922" s="3" t="str">
        <f>IF(I922="Billy Wilder", "Must Watch", IF(I922="John Ford", "Watch", "Maybe"))</f>
        <v>Maybe</v>
      </c>
    </row>
    <row r="923" spans="1:13" x14ac:dyDescent="0.25">
      <c r="A923">
        <v>922</v>
      </c>
      <c r="B923" t="s">
        <v>2482</v>
      </c>
      <c r="C923">
        <v>-2011</v>
      </c>
      <c r="D923">
        <v>18</v>
      </c>
      <c r="E923" t="s">
        <v>321</v>
      </c>
      <c r="F923" t="s">
        <v>1175</v>
      </c>
      <c r="G923">
        <v>7.6</v>
      </c>
      <c r="H923">
        <v>73</v>
      </c>
      <c r="I923" t="s">
        <v>1424</v>
      </c>
      <c r="J923" s="3">
        <v>202775</v>
      </c>
      <c r="K923" t="s">
        <v>2483</v>
      </c>
      <c r="M923" s="3" t="str">
        <f>IF(I923="Billy Wilder", "Must Watch", IF(I923="John Ford", "Watch", "Maybe"))</f>
        <v>Maybe</v>
      </c>
    </row>
    <row r="924" spans="1:13" x14ac:dyDescent="0.25">
      <c r="A924">
        <v>923</v>
      </c>
      <c r="B924" t="s">
        <v>2484</v>
      </c>
      <c r="C924">
        <v>-2012</v>
      </c>
      <c r="D924">
        <v>15</v>
      </c>
      <c r="E924" t="s">
        <v>241</v>
      </c>
      <c r="F924" t="s">
        <v>2485</v>
      </c>
      <c r="G924">
        <v>7.6</v>
      </c>
      <c r="H924">
        <v>68</v>
      </c>
      <c r="I924" t="s">
        <v>2486</v>
      </c>
      <c r="J924" s="3">
        <v>245142</v>
      </c>
      <c r="K924" t="s">
        <v>2487</v>
      </c>
      <c r="M924" s="3" t="str">
        <f>IF(I924="Billy Wilder", "Must Watch", IF(I924="John Ford", "Watch", "Maybe"))</f>
        <v>Maybe</v>
      </c>
    </row>
    <row r="925" spans="1:13" x14ac:dyDescent="0.25">
      <c r="A925">
        <v>924</v>
      </c>
      <c r="B925" t="s">
        <v>2488</v>
      </c>
      <c r="C925">
        <v>-2010</v>
      </c>
      <c r="D925">
        <v>15</v>
      </c>
      <c r="E925" t="s">
        <v>1057</v>
      </c>
      <c r="F925" t="s">
        <v>606</v>
      </c>
      <c r="G925">
        <v>7.6</v>
      </c>
      <c r="H925">
        <v>82</v>
      </c>
      <c r="I925" t="s">
        <v>896</v>
      </c>
      <c r="J925" s="3">
        <v>372752</v>
      </c>
      <c r="K925" t="s">
        <v>2489</v>
      </c>
      <c r="M925" s="3" t="str">
        <f>IF(I925="Billy Wilder", "Must Watch", IF(I925="John Ford", "Watch", "Maybe"))</f>
        <v>Maybe</v>
      </c>
    </row>
    <row r="926" spans="1:13" x14ac:dyDescent="0.25">
      <c r="A926">
        <v>925</v>
      </c>
      <c r="B926" t="s">
        <v>2490</v>
      </c>
      <c r="C926">
        <v>-2018</v>
      </c>
      <c r="D926">
        <v>15</v>
      </c>
      <c r="E926" t="s">
        <v>89</v>
      </c>
      <c r="F926" t="s">
        <v>921</v>
      </c>
      <c r="G926">
        <v>7.6</v>
      </c>
      <c r="H926">
        <v>88</v>
      </c>
      <c r="I926" t="s">
        <v>2491</v>
      </c>
      <c r="J926" s="3">
        <v>375246</v>
      </c>
      <c r="K926" t="s">
        <v>2492</v>
      </c>
      <c r="M926" s="3" t="str">
        <f>IF(I926="Billy Wilder", "Must Watch", IF(I926="John Ford", "Watch", "Maybe"))</f>
        <v>Maybe</v>
      </c>
    </row>
    <row r="927" spans="1:13" x14ac:dyDescent="0.25">
      <c r="A927">
        <v>926</v>
      </c>
      <c r="B927" t="s">
        <v>2493</v>
      </c>
      <c r="C927">
        <v>-2010</v>
      </c>
      <c r="D927">
        <v>15</v>
      </c>
      <c r="E927" t="s">
        <v>209</v>
      </c>
      <c r="F927" t="s">
        <v>296</v>
      </c>
      <c r="G927">
        <v>7.6</v>
      </c>
      <c r="H927">
        <v>80</v>
      </c>
      <c r="I927" t="s">
        <v>583</v>
      </c>
      <c r="J927" s="3">
        <v>335095</v>
      </c>
      <c r="K927" t="s">
        <v>2494</v>
      </c>
      <c r="M927" s="3" t="str">
        <f>IF(I927="Billy Wilder", "Must Watch", IF(I927="John Ford", "Watch", "Maybe"))</f>
        <v>Maybe</v>
      </c>
    </row>
    <row r="928" spans="1:13" x14ac:dyDescent="0.25">
      <c r="A928">
        <v>927</v>
      </c>
      <c r="B928" t="s">
        <v>2495</v>
      </c>
      <c r="C928">
        <v>-2010</v>
      </c>
      <c r="D928" t="s">
        <v>49</v>
      </c>
      <c r="E928" t="s">
        <v>356</v>
      </c>
      <c r="F928" t="s">
        <v>292</v>
      </c>
      <c r="G928">
        <v>7.6</v>
      </c>
      <c r="H928">
        <v>72</v>
      </c>
      <c r="I928" t="s">
        <v>2496</v>
      </c>
      <c r="J928" s="3">
        <v>535729</v>
      </c>
      <c r="K928" t="s">
        <v>2497</v>
      </c>
      <c r="M928" s="3" t="str">
        <f>IF(I928="Billy Wilder", "Must Watch", IF(I928="John Ford", "Watch", "Maybe"))</f>
        <v>Maybe</v>
      </c>
    </row>
    <row r="929" spans="1:13" x14ac:dyDescent="0.25">
      <c r="A929">
        <v>928</v>
      </c>
      <c r="B929" t="s">
        <v>2498</v>
      </c>
      <c r="C929">
        <v>-2011</v>
      </c>
      <c r="D929" t="s">
        <v>30</v>
      </c>
      <c r="E929" t="s">
        <v>291</v>
      </c>
      <c r="F929" t="s">
        <v>595</v>
      </c>
      <c r="G929">
        <v>7.6</v>
      </c>
      <c r="H929">
        <v>68</v>
      </c>
      <c r="I929" t="s">
        <v>2499</v>
      </c>
      <c r="J929" s="3">
        <v>522184</v>
      </c>
      <c r="K929" t="s">
        <v>2500</v>
      </c>
      <c r="M929" s="3" t="str">
        <f>IF(I929="Billy Wilder", "Must Watch", IF(I929="John Ford", "Watch", "Maybe"))</f>
        <v>Maybe</v>
      </c>
    </row>
    <row r="930" spans="1:13" x14ac:dyDescent="0.25">
      <c r="A930">
        <v>929</v>
      </c>
      <c r="B930" t="s">
        <v>2501</v>
      </c>
      <c r="C930">
        <v>-2011</v>
      </c>
      <c r="D930">
        <v>15</v>
      </c>
      <c r="E930" t="s">
        <v>613</v>
      </c>
      <c r="F930" t="s">
        <v>132</v>
      </c>
      <c r="G930">
        <v>7.6</v>
      </c>
      <c r="H930">
        <v>72</v>
      </c>
      <c r="I930" t="s">
        <v>2502</v>
      </c>
      <c r="J930" s="3">
        <v>328197</v>
      </c>
      <c r="K930" t="s">
        <v>2503</v>
      </c>
      <c r="M930" s="3" t="str">
        <f>IF(I930="Billy Wilder", "Must Watch", IF(I930="John Ford", "Watch", "Maybe"))</f>
        <v>Maybe</v>
      </c>
    </row>
    <row r="931" spans="1:13" x14ac:dyDescent="0.25">
      <c r="A931">
        <v>930</v>
      </c>
      <c r="B931" t="s">
        <v>2504</v>
      </c>
      <c r="C931">
        <v>-2010</v>
      </c>
      <c r="D931">
        <v>15</v>
      </c>
      <c r="E931" t="s">
        <v>232</v>
      </c>
      <c r="F931" t="s">
        <v>550</v>
      </c>
      <c r="G931">
        <v>7.6</v>
      </c>
      <c r="H931">
        <v>66</v>
      </c>
      <c r="I931" t="s">
        <v>2081</v>
      </c>
      <c r="J931" s="3">
        <v>555404</v>
      </c>
      <c r="K931" t="s">
        <v>2505</v>
      </c>
      <c r="M931" s="3" t="str">
        <f>IF(I931="Billy Wilder", "Must Watch", IF(I931="John Ford", "Watch", "Maybe"))</f>
        <v>Maybe</v>
      </c>
    </row>
    <row r="932" spans="1:13" x14ac:dyDescent="0.25">
      <c r="A932">
        <v>931</v>
      </c>
      <c r="B932" t="s">
        <v>2506</v>
      </c>
      <c r="C932">
        <v>-2009</v>
      </c>
      <c r="D932">
        <v>18</v>
      </c>
      <c r="E932" t="s">
        <v>325</v>
      </c>
      <c r="F932" t="s">
        <v>32</v>
      </c>
      <c r="G932">
        <v>7.6</v>
      </c>
      <c r="I932" t="s">
        <v>2507</v>
      </c>
      <c r="J932" s="3">
        <v>67334</v>
      </c>
      <c r="M932" s="3" t="str">
        <f>IF(I932="Billy Wilder", "Must Watch", IF(I932="John Ford", "Watch", "Maybe"))</f>
        <v>Maybe</v>
      </c>
    </row>
    <row r="933" spans="1:13" x14ac:dyDescent="0.25">
      <c r="A933">
        <v>932</v>
      </c>
      <c r="B933" t="s">
        <v>2508</v>
      </c>
      <c r="C933">
        <v>-2011</v>
      </c>
      <c r="D933" t="s">
        <v>30</v>
      </c>
      <c r="E933" t="s">
        <v>104</v>
      </c>
      <c r="F933" t="s">
        <v>542</v>
      </c>
      <c r="G933">
        <v>7.6</v>
      </c>
      <c r="H933">
        <v>87</v>
      </c>
      <c r="I933" t="s">
        <v>2509</v>
      </c>
      <c r="J933" s="3">
        <v>414235</v>
      </c>
      <c r="K933" t="s">
        <v>2510</v>
      </c>
      <c r="M933" s="3" t="str">
        <f>IF(I933="Billy Wilder", "Must Watch", IF(I933="John Ford", "Watch", "Maybe"))</f>
        <v>Maybe</v>
      </c>
    </row>
    <row r="934" spans="1:13" x14ac:dyDescent="0.25">
      <c r="A934">
        <v>933</v>
      </c>
      <c r="B934" t="s">
        <v>2511</v>
      </c>
      <c r="C934">
        <v>-2011</v>
      </c>
      <c r="D934">
        <v>15</v>
      </c>
      <c r="E934" t="s">
        <v>811</v>
      </c>
      <c r="F934" t="s">
        <v>1337</v>
      </c>
      <c r="G934">
        <v>7.6</v>
      </c>
      <c r="H934">
        <v>70</v>
      </c>
      <c r="I934" t="s">
        <v>1516</v>
      </c>
      <c r="J934" s="3">
        <v>150850</v>
      </c>
      <c r="K934" t="s">
        <v>2512</v>
      </c>
      <c r="M934" s="3" t="str">
        <f>IF(I934="Billy Wilder", "Must Watch", IF(I934="John Ford", "Watch", "Maybe"))</f>
        <v>Maybe</v>
      </c>
    </row>
    <row r="935" spans="1:13" x14ac:dyDescent="0.25">
      <c r="A935">
        <v>934</v>
      </c>
      <c r="B935" t="s">
        <v>2513</v>
      </c>
      <c r="C935">
        <v>-2009</v>
      </c>
      <c r="D935">
        <v>15</v>
      </c>
      <c r="E935" t="s">
        <v>213</v>
      </c>
      <c r="F935" t="s">
        <v>2514</v>
      </c>
      <c r="G935">
        <v>7.6</v>
      </c>
      <c r="H935">
        <v>73</v>
      </c>
      <c r="I935" t="s">
        <v>2515</v>
      </c>
      <c r="J935" s="3">
        <v>565394</v>
      </c>
      <c r="K935" t="s">
        <v>2516</v>
      </c>
      <c r="M935" s="3" t="str">
        <f>IF(I935="Billy Wilder", "Must Watch", IF(I935="John Ford", "Watch", "Maybe"))</f>
        <v>Maybe</v>
      </c>
    </row>
    <row r="936" spans="1:13" x14ac:dyDescent="0.25">
      <c r="A936">
        <v>935</v>
      </c>
      <c r="B936" t="s">
        <v>2517</v>
      </c>
      <c r="C936">
        <v>-2009</v>
      </c>
      <c r="D936" t="s">
        <v>30</v>
      </c>
      <c r="E936" t="s">
        <v>452</v>
      </c>
      <c r="F936" t="s">
        <v>542</v>
      </c>
      <c r="G936">
        <v>7.6</v>
      </c>
      <c r="H936">
        <v>53</v>
      </c>
      <c r="I936" t="s">
        <v>2518</v>
      </c>
      <c r="J936" s="3">
        <v>326246</v>
      </c>
      <c r="K936" t="s">
        <v>2519</v>
      </c>
      <c r="M936" s="3" t="str">
        <f>IF(I936="Billy Wilder", "Must Watch", IF(I936="John Ford", "Watch", "Maybe"))</f>
        <v>Maybe</v>
      </c>
    </row>
    <row r="937" spans="1:13" x14ac:dyDescent="0.25">
      <c r="A937">
        <v>936</v>
      </c>
      <c r="B937" t="s">
        <v>2520</v>
      </c>
      <c r="C937">
        <v>-2008</v>
      </c>
      <c r="D937" t="s">
        <v>49</v>
      </c>
      <c r="E937" t="s">
        <v>321</v>
      </c>
      <c r="F937" t="s">
        <v>292</v>
      </c>
      <c r="G937">
        <v>7.6</v>
      </c>
      <c r="H937">
        <v>86</v>
      </c>
      <c r="I937" t="s">
        <v>121</v>
      </c>
      <c r="J937" s="3">
        <v>140922</v>
      </c>
      <c r="K937" t="s">
        <v>2521</v>
      </c>
      <c r="M937" s="3" t="str">
        <f>IF(I937="Billy Wilder", "Must Watch", IF(I937="John Ford", "Watch", "Maybe"))</f>
        <v>Maybe</v>
      </c>
    </row>
    <row r="938" spans="1:13" x14ac:dyDescent="0.25">
      <c r="A938">
        <v>937</v>
      </c>
      <c r="B938" t="s">
        <v>2522</v>
      </c>
      <c r="C938">
        <v>-2007</v>
      </c>
      <c r="D938">
        <v>15</v>
      </c>
      <c r="E938" t="s">
        <v>325</v>
      </c>
      <c r="F938" t="s">
        <v>1287</v>
      </c>
      <c r="G938">
        <v>7.6</v>
      </c>
      <c r="H938">
        <v>76</v>
      </c>
      <c r="I938" t="s">
        <v>2523</v>
      </c>
      <c r="J938" s="3">
        <v>566755</v>
      </c>
      <c r="K938" t="s">
        <v>2524</v>
      </c>
      <c r="M938" s="3" t="str">
        <f>IF(I938="Billy Wilder", "Must Watch", IF(I938="John Ford", "Watch", "Maybe"))</f>
        <v>Maybe</v>
      </c>
    </row>
    <row r="939" spans="1:13" x14ac:dyDescent="0.25">
      <c r="A939">
        <v>938</v>
      </c>
      <c r="B939" t="s">
        <v>2525</v>
      </c>
      <c r="C939">
        <v>-2008</v>
      </c>
      <c r="D939" t="s">
        <v>30</v>
      </c>
      <c r="E939" t="s">
        <v>384</v>
      </c>
      <c r="F939" t="s">
        <v>20</v>
      </c>
      <c r="G939">
        <v>7.6</v>
      </c>
      <c r="H939">
        <v>36</v>
      </c>
      <c r="I939" t="s">
        <v>1147</v>
      </c>
      <c r="J939" s="3">
        <v>300595</v>
      </c>
      <c r="K939" t="s">
        <v>2526</v>
      </c>
      <c r="M939" s="3" t="str">
        <f>IF(I939="Billy Wilder", "Must Watch", IF(I939="John Ford", "Watch", "Maybe"))</f>
        <v>Maybe</v>
      </c>
    </row>
    <row r="940" spans="1:13" x14ac:dyDescent="0.25">
      <c r="A940">
        <v>939</v>
      </c>
      <c r="B940" t="s">
        <v>2527</v>
      </c>
      <c r="C940">
        <v>-2007</v>
      </c>
      <c r="D940">
        <v>18</v>
      </c>
      <c r="E940" t="s">
        <v>613</v>
      </c>
      <c r="F940" t="s">
        <v>144</v>
      </c>
      <c r="G940">
        <v>7.6</v>
      </c>
      <c r="H940">
        <v>82</v>
      </c>
      <c r="I940" t="s">
        <v>2528</v>
      </c>
      <c r="J940" s="3">
        <v>240916</v>
      </c>
      <c r="K940" t="s">
        <v>2194</v>
      </c>
      <c r="M940" s="3" t="str">
        <f>IF(I940="Billy Wilder", "Must Watch", IF(I940="John Ford", "Watch", "Maybe"))</f>
        <v>Maybe</v>
      </c>
    </row>
    <row r="941" spans="1:13" x14ac:dyDescent="0.25">
      <c r="A941">
        <v>940</v>
      </c>
      <c r="B941" t="s">
        <v>2529</v>
      </c>
      <c r="C941">
        <v>-2007</v>
      </c>
      <c r="D941" t="s">
        <v>74</v>
      </c>
      <c r="E941" t="s">
        <v>136</v>
      </c>
      <c r="F941" t="s">
        <v>1044</v>
      </c>
      <c r="G941">
        <v>7.6</v>
      </c>
      <c r="H941">
        <v>66</v>
      </c>
      <c r="I941" t="s">
        <v>2081</v>
      </c>
      <c r="J941" s="3">
        <v>270223</v>
      </c>
      <c r="K941" t="s">
        <v>2530</v>
      </c>
      <c r="M941" s="3" t="str">
        <f>IF(I941="Billy Wilder", "Must Watch", IF(I941="John Ford", "Watch", "Maybe"))</f>
        <v>Maybe</v>
      </c>
    </row>
    <row r="942" spans="1:13" x14ac:dyDescent="0.25">
      <c r="A942">
        <v>941</v>
      </c>
      <c r="B942" t="s">
        <v>2531</v>
      </c>
      <c r="C942">
        <v>-2006</v>
      </c>
      <c r="D942">
        <v>15</v>
      </c>
      <c r="E942" t="s">
        <v>610</v>
      </c>
      <c r="F942" t="s">
        <v>516</v>
      </c>
      <c r="G942">
        <v>7.6</v>
      </c>
      <c r="H942">
        <v>90</v>
      </c>
      <c r="I942" t="s">
        <v>1154</v>
      </c>
      <c r="J942" s="3">
        <v>105942</v>
      </c>
      <c r="K942" t="s">
        <v>2532</v>
      </c>
      <c r="M942" s="3" t="str">
        <f>IF(I942="Billy Wilder", "Must Watch", IF(I942="John Ford", "Watch", "Maybe"))</f>
        <v>Maybe</v>
      </c>
    </row>
    <row r="943" spans="1:13" x14ac:dyDescent="0.25">
      <c r="A943">
        <v>942</v>
      </c>
      <c r="B943" t="s">
        <v>2533</v>
      </c>
      <c r="C943">
        <v>-2006</v>
      </c>
      <c r="D943">
        <v>15</v>
      </c>
      <c r="E943" t="s">
        <v>452</v>
      </c>
      <c r="F943" t="s">
        <v>56</v>
      </c>
      <c r="G943">
        <v>7.6</v>
      </c>
      <c r="H943">
        <v>76</v>
      </c>
      <c r="I943" t="s">
        <v>1581</v>
      </c>
      <c r="J943" s="3">
        <v>368098</v>
      </c>
      <c r="K943" t="s">
        <v>2534</v>
      </c>
      <c r="M943" s="3" t="str">
        <f>IF(I943="Billy Wilder", "Must Watch", IF(I943="John Ford", "Watch", "Maybe"))</f>
        <v>Maybe</v>
      </c>
    </row>
    <row r="944" spans="1:13" x14ac:dyDescent="0.25">
      <c r="A944">
        <v>943</v>
      </c>
      <c r="B944" t="s">
        <v>2535</v>
      </c>
      <c r="C944">
        <v>-2007</v>
      </c>
      <c r="D944">
        <v>15</v>
      </c>
      <c r="E944" t="s">
        <v>655</v>
      </c>
      <c r="F944" t="s">
        <v>56</v>
      </c>
      <c r="G944">
        <v>7.6</v>
      </c>
      <c r="H944">
        <v>72</v>
      </c>
      <c r="I944" t="s">
        <v>2140</v>
      </c>
      <c r="J944" s="3">
        <v>270039</v>
      </c>
      <c r="K944" t="s">
        <v>2536</v>
      </c>
      <c r="M944" s="3" t="str">
        <f>IF(I944="Billy Wilder", "Must Watch", IF(I944="John Ford", "Watch", "Maybe"))</f>
        <v>Maybe</v>
      </c>
    </row>
    <row r="945" spans="1:13" x14ac:dyDescent="0.25">
      <c r="A945">
        <v>944</v>
      </c>
      <c r="B945" t="s">
        <v>2537</v>
      </c>
      <c r="C945">
        <v>-2008</v>
      </c>
      <c r="D945" t="s">
        <v>49</v>
      </c>
      <c r="E945" t="s">
        <v>827</v>
      </c>
      <c r="F945" t="s">
        <v>279</v>
      </c>
      <c r="G945">
        <v>7.6</v>
      </c>
      <c r="H945">
        <v>74</v>
      </c>
      <c r="I945" t="s">
        <v>2111</v>
      </c>
      <c r="J945" s="3">
        <v>459167</v>
      </c>
      <c r="K945" t="s">
        <v>2538</v>
      </c>
      <c r="M945" s="3" t="str">
        <f>IF(I945="Billy Wilder", "Must Watch", IF(I945="John Ford", "Watch", "Maybe"))</f>
        <v>Maybe</v>
      </c>
    </row>
    <row r="946" spans="1:13" x14ac:dyDescent="0.25">
      <c r="A946">
        <v>945</v>
      </c>
      <c r="B946">
        <v>300</v>
      </c>
      <c r="C946">
        <v>-2006</v>
      </c>
      <c r="D946">
        <v>15</v>
      </c>
      <c r="E946" t="s">
        <v>232</v>
      </c>
      <c r="F946" t="s">
        <v>109</v>
      </c>
      <c r="G946">
        <v>7.6</v>
      </c>
      <c r="H946">
        <v>52</v>
      </c>
      <c r="I946" t="s">
        <v>1121</v>
      </c>
      <c r="J946" s="3">
        <v>806765</v>
      </c>
      <c r="K946" t="s">
        <v>226</v>
      </c>
      <c r="M946" s="3" t="str">
        <f>IF(I946="Billy Wilder", "Must Watch", IF(I946="John Ford", "Watch", "Maybe"))</f>
        <v>Maybe</v>
      </c>
    </row>
    <row r="947" spans="1:13" x14ac:dyDescent="0.25">
      <c r="A947">
        <v>946</v>
      </c>
      <c r="B947" t="s">
        <v>2539</v>
      </c>
      <c r="C947">
        <v>-2005</v>
      </c>
      <c r="D947" t="s">
        <v>30</v>
      </c>
      <c r="E947" t="s">
        <v>99</v>
      </c>
      <c r="F947" t="s">
        <v>743</v>
      </c>
      <c r="G947">
        <v>7.6</v>
      </c>
      <c r="H947">
        <v>72</v>
      </c>
      <c r="I947" t="s">
        <v>1294</v>
      </c>
      <c r="J947" s="3">
        <v>216623</v>
      </c>
      <c r="K947" t="s">
        <v>2540</v>
      </c>
      <c r="M947" s="3" t="str">
        <f>IF(I947="Billy Wilder", "Must Watch", IF(I947="John Ford", "Watch", "Maybe"))</f>
        <v>Maybe</v>
      </c>
    </row>
    <row r="948" spans="1:13" x14ac:dyDescent="0.25">
      <c r="A948">
        <v>947</v>
      </c>
      <c r="B948" t="s">
        <v>2541</v>
      </c>
      <c r="C948">
        <v>-2009</v>
      </c>
      <c r="D948">
        <v>18</v>
      </c>
      <c r="E948" t="s">
        <v>644</v>
      </c>
      <c r="F948" t="s">
        <v>152</v>
      </c>
      <c r="G948">
        <v>7.6</v>
      </c>
      <c r="H948">
        <v>56</v>
      </c>
      <c r="I948" t="s">
        <v>1121</v>
      </c>
      <c r="J948" s="3">
        <v>543887</v>
      </c>
      <c r="K948" t="s">
        <v>2542</v>
      </c>
      <c r="M948" s="3" t="str">
        <f>IF(I948="Billy Wilder", "Must Watch", IF(I948="John Ford", "Watch", "Maybe"))</f>
        <v>Maybe</v>
      </c>
    </row>
    <row r="949" spans="1:13" x14ac:dyDescent="0.25">
      <c r="A949">
        <v>948</v>
      </c>
      <c r="B949" t="s">
        <v>2543</v>
      </c>
      <c r="C949">
        <v>-2005</v>
      </c>
      <c r="D949">
        <v>15</v>
      </c>
      <c r="E949" t="s">
        <v>268</v>
      </c>
      <c r="F949" t="s">
        <v>26</v>
      </c>
      <c r="G949">
        <v>7.6</v>
      </c>
      <c r="H949">
        <v>62</v>
      </c>
      <c r="I949" t="s">
        <v>1901</v>
      </c>
      <c r="J949" s="3">
        <v>313532</v>
      </c>
      <c r="K949" t="s">
        <v>2544</v>
      </c>
      <c r="M949" s="3" t="str">
        <f>IF(I949="Billy Wilder", "Must Watch", IF(I949="John Ford", "Watch", "Maybe"))</f>
        <v>Maybe</v>
      </c>
    </row>
    <row r="950" spans="1:13" x14ac:dyDescent="0.25">
      <c r="A950">
        <v>949</v>
      </c>
      <c r="B950" t="s">
        <v>2545</v>
      </c>
      <c r="C950">
        <v>-2004</v>
      </c>
      <c r="D950">
        <v>18</v>
      </c>
      <c r="E950" t="s">
        <v>403</v>
      </c>
      <c r="F950" t="s">
        <v>242</v>
      </c>
      <c r="G950">
        <v>7.6</v>
      </c>
      <c r="H950">
        <v>46</v>
      </c>
      <c r="I950" t="s">
        <v>2546</v>
      </c>
      <c r="J950" s="3">
        <v>412720</v>
      </c>
      <c r="K950" t="s">
        <v>2547</v>
      </c>
      <c r="M950" s="3" t="str">
        <f>IF(I950="Billy Wilder", "Must Watch", IF(I950="John Ford", "Watch", "Maybe"))</f>
        <v>Maybe</v>
      </c>
    </row>
    <row r="951" spans="1:13" x14ac:dyDescent="0.25">
      <c r="A951">
        <v>950</v>
      </c>
      <c r="B951" t="s">
        <v>2548</v>
      </c>
      <c r="C951">
        <v>-2004</v>
      </c>
      <c r="D951" t="s">
        <v>30</v>
      </c>
      <c r="E951" t="s">
        <v>119</v>
      </c>
      <c r="F951" t="s">
        <v>26</v>
      </c>
      <c r="G951">
        <v>7.6</v>
      </c>
      <c r="H951">
        <v>83</v>
      </c>
      <c r="I951" t="s">
        <v>1229</v>
      </c>
      <c r="J951" s="3">
        <v>25466</v>
      </c>
      <c r="K951" t="s">
        <v>2549</v>
      </c>
      <c r="M951" s="3" t="str">
        <f>IF(I951="Billy Wilder", "Must Watch", IF(I951="John Ford", "Watch", "Maybe"))</f>
        <v>Maybe</v>
      </c>
    </row>
    <row r="952" spans="1:13" x14ac:dyDescent="0.25">
      <c r="A952">
        <v>951</v>
      </c>
      <c r="B952" t="s">
        <v>2550</v>
      </c>
      <c r="C952">
        <v>-2004</v>
      </c>
      <c r="D952">
        <v>18</v>
      </c>
      <c r="E952" t="s">
        <v>291</v>
      </c>
      <c r="F952" t="s">
        <v>20</v>
      </c>
      <c r="G952">
        <v>7.6</v>
      </c>
      <c r="H952">
        <v>73</v>
      </c>
      <c r="I952" t="s">
        <v>2551</v>
      </c>
      <c r="J952" s="3">
        <v>69509</v>
      </c>
      <c r="K952" t="s">
        <v>2552</v>
      </c>
      <c r="M952" s="3" t="str">
        <f>IF(I952="Billy Wilder", "Must Watch", IF(I952="John Ford", "Watch", "Maybe"))</f>
        <v>Maybe</v>
      </c>
    </row>
    <row r="953" spans="1:13" x14ac:dyDescent="0.25">
      <c r="A953">
        <v>952</v>
      </c>
      <c r="B953" t="s">
        <v>2553</v>
      </c>
      <c r="C953">
        <v>-2004</v>
      </c>
      <c r="D953">
        <v>15</v>
      </c>
      <c r="E953" t="s">
        <v>104</v>
      </c>
      <c r="F953" t="s">
        <v>557</v>
      </c>
      <c r="G953">
        <v>7.6</v>
      </c>
      <c r="H953">
        <v>76</v>
      </c>
      <c r="I953" t="s">
        <v>415</v>
      </c>
      <c r="J953" s="3">
        <v>73693</v>
      </c>
      <c r="K953" t="s">
        <v>2554</v>
      </c>
      <c r="M953" s="3" t="str">
        <f>IF(I953="Billy Wilder", "Must Watch", IF(I953="John Ford", "Watch", "Maybe"))</f>
        <v>Maybe</v>
      </c>
    </row>
    <row r="954" spans="1:13" x14ac:dyDescent="0.25">
      <c r="A954">
        <v>953</v>
      </c>
      <c r="B954" t="s">
        <v>2555</v>
      </c>
      <c r="C954">
        <v>-2003</v>
      </c>
      <c r="D954">
        <v>15</v>
      </c>
      <c r="E954" t="s">
        <v>221</v>
      </c>
      <c r="F954" t="s">
        <v>304</v>
      </c>
      <c r="G954">
        <v>7.6</v>
      </c>
      <c r="H954">
        <v>81</v>
      </c>
      <c r="I954" t="s">
        <v>795</v>
      </c>
      <c r="J954" s="3">
        <v>70305</v>
      </c>
      <c r="K954" t="s">
        <v>2556</v>
      </c>
      <c r="M954" s="3" t="str">
        <f>IF(I954="Billy Wilder", "Must Watch", IF(I954="John Ford", "Watch", "Maybe"))</f>
        <v>Maybe</v>
      </c>
    </row>
    <row r="955" spans="1:13" x14ac:dyDescent="0.25">
      <c r="A955">
        <v>954</v>
      </c>
      <c r="B955" t="s">
        <v>2557</v>
      </c>
      <c r="C955">
        <v>-2003</v>
      </c>
      <c r="D955">
        <v>15</v>
      </c>
      <c r="E955" t="s">
        <v>309</v>
      </c>
      <c r="F955" t="s">
        <v>132</v>
      </c>
      <c r="G955">
        <v>7.6</v>
      </c>
      <c r="H955">
        <v>55</v>
      </c>
      <c r="I955" t="s">
        <v>1763</v>
      </c>
      <c r="J955" s="3">
        <v>475740</v>
      </c>
      <c r="K955" t="s">
        <v>2558</v>
      </c>
      <c r="M955" s="3" t="str">
        <f>IF(I955="Billy Wilder", "Must Watch", IF(I955="John Ford", "Watch", "Maybe"))</f>
        <v>Maybe</v>
      </c>
    </row>
    <row r="956" spans="1:13" x14ac:dyDescent="0.25">
      <c r="A956">
        <v>955</v>
      </c>
      <c r="B956" t="s">
        <v>2559</v>
      </c>
      <c r="C956">
        <v>-2002</v>
      </c>
      <c r="D956">
        <v>15</v>
      </c>
      <c r="E956" t="s">
        <v>309</v>
      </c>
      <c r="F956" t="s">
        <v>20</v>
      </c>
      <c r="G956">
        <v>7.6</v>
      </c>
      <c r="H956">
        <v>68</v>
      </c>
      <c r="I956" t="s">
        <v>1581</v>
      </c>
      <c r="J956" s="3">
        <v>177788</v>
      </c>
      <c r="K956" t="s">
        <v>2560</v>
      </c>
      <c r="M956" s="3" t="str">
        <f>IF(I956="Billy Wilder", "Must Watch", IF(I956="John Ford", "Watch", "Maybe"))</f>
        <v>Maybe</v>
      </c>
    </row>
    <row r="957" spans="1:13" x14ac:dyDescent="0.25">
      <c r="A957">
        <v>956</v>
      </c>
      <c r="B957" t="s">
        <v>2561</v>
      </c>
      <c r="C957">
        <v>-2004</v>
      </c>
      <c r="D957">
        <v>15</v>
      </c>
      <c r="E957" t="s">
        <v>325</v>
      </c>
      <c r="F957" t="s">
        <v>1900</v>
      </c>
      <c r="G957">
        <v>7.6</v>
      </c>
      <c r="H957">
        <v>30</v>
      </c>
      <c r="I957" t="s">
        <v>2562</v>
      </c>
      <c r="J957" s="3">
        <v>482705</v>
      </c>
      <c r="K957" t="s">
        <v>2563</v>
      </c>
      <c r="M957" s="3" t="str">
        <f>IF(I957="Billy Wilder", "Must Watch", IF(I957="John Ford", "Watch", "Maybe"))</f>
        <v>Maybe</v>
      </c>
    </row>
    <row r="958" spans="1:13" x14ac:dyDescent="0.25">
      <c r="A958">
        <v>957</v>
      </c>
      <c r="B958" t="s">
        <v>2564</v>
      </c>
      <c r="C958">
        <v>-2001</v>
      </c>
      <c r="D958">
        <v>12</v>
      </c>
      <c r="E958" t="s">
        <v>166</v>
      </c>
      <c r="F958" t="s">
        <v>20</v>
      </c>
      <c r="G958">
        <v>7.6</v>
      </c>
      <c r="H958">
        <v>28</v>
      </c>
      <c r="I958" t="s">
        <v>2565</v>
      </c>
      <c r="J958" s="3">
        <v>149535</v>
      </c>
      <c r="K958" t="s">
        <v>2566</v>
      </c>
      <c r="M958" s="3" t="str">
        <f>IF(I958="Billy Wilder", "Must Watch", IF(I958="John Ford", "Watch", "Maybe"))</f>
        <v>Maybe</v>
      </c>
    </row>
    <row r="959" spans="1:13" x14ac:dyDescent="0.25">
      <c r="A959">
        <v>958</v>
      </c>
      <c r="B959" t="s">
        <v>2567</v>
      </c>
      <c r="C959">
        <v>-2001</v>
      </c>
      <c r="D959">
        <v>15</v>
      </c>
      <c r="E959" t="s">
        <v>209</v>
      </c>
      <c r="F959" t="s">
        <v>304</v>
      </c>
      <c r="G959">
        <v>7.6</v>
      </c>
      <c r="H959">
        <v>76</v>
      </c>
      <c r="I959" t="s">
        <v>774</v>
      </c>
      <c r="J959" s="3">
        <v>288813</v>
      </c>
      <c r="K959" t="s">
        <v>2568</v>
      </c>
      <c r="M959" s="3" t="str">
        <f>IF(I959="Billy Wilder", "Must Watch", IF(I959="John Ford", "Watch", "Maybe"))</f>
        <v>Maybe</v>
      </c>
    </row>
    <row r="960" spans="1:13" x14ac:dyDescent="0.25">
      <c r="A960">
        <v>959</v>
      </c>
      <c r="B960" t="s">
        <v>2569</v>
      </c>
      <c r="C960">
        <v>-2001</v>
      </c>
      <c r="D960" t="s">
        <v>74</v>
      </c>
      <c r="E960" t="s">
        <v>31</v>
      </c>
      <c r="F960" t="s">
        <v>1044</v>
      </c>
      <c r="G960">
        <v>7.6</v>
      </c>
      <c r="H960">
        <v>65</v>
      </c>
      <c r="I960" t="s">
        <v>2339</v>
      </c>
      <c r="J960" s="3">
        <v>757390</v>
      </c>
      <c r="K960" t="s">
        <v>2570</v>
      </c>
      <c r="M960" s="3" t="str">
        <f>IF(I960="Billy Wilder", "Must Watch", IF(I960="John Ford", "Watch", "Maybe"))</f>
        <v>Maybe</v>
      </c>
    </row>
    <row r="961" spans="1:13" x14ac:dyDescent="0.25">
      <c r="A961">
        <v>960</v>
      </c>
      <c r="B961" t="s">
        <v>2571</v>
      </c>
      <c r="C961">
        <v>-2001</v>
      </c>
      <c r="D961">
        <v>12</v>
      </c>
      <c r="E961" t="s">
        <v>321</v>
      </c>
      <c r="F961" t="s">
        <v>242</v>
      </c>
      <c r="G961">
        <v>7.6</v>
      </c>
      <c r="H961">
        <v>74</v>
      </c>
      <c r="I961" t="s">
        <v>1181</v>
      </c>
      <c r="J961" s="3">
        <v>360863</v>
      </c>
      <c r="K961" t="s">
        <v>2572</v>
      </c>
      <c r="M961" s="3" t="str">
        <f>IF(I961="Billy Wilder", "Must Watch", IF(I961="John Ford", "Watch", "Maybe"))</f>
        <v>Maybe</v>
      </c>
    </row>
    <row r="962" spans="1:13" x14ac:dyDescent="0.25">
      <c r="A962">
        <v>961</v>
      </c>
      <c r="B962" t="s">
        <v>2573</v>
      </c>
      <c r="C962">
        <v>-2000</v>
      </c>
      <c r="D962">
        <v>18</v>
      </c>
      <c r="E962" t="s">
        <v>228</v>
      </c>
      <c r="F962" t="s">
        <v>144</v>
      </c>
      <c r="G962">
        <v>7.6</v>
      </c>
      <c r="H962">
        <v>86</v>
      </c>
      <c r="I962" t="s">
        <v>2249</v>
      </c>
      <c r="J962" s="3">
        <v>206281</v>
      </c>
      <c r="K962" t="s">
        <v>2574</v>
      </c>
      <c r="M962" s="3" t="str">
        <f>IF(I962="Billy Wilder", "Must Watch", IF(I962="John Ford", "Watch", "Maybe"))</f>
        <v>Maybe</v>
      </c>
    </row>
    <row r="963" spans="1:13" x14ac:dyDescent="0.25">
      <c r="A963">
        <v>962</v>
      </c>
      <c r="B963" t="s">
        <v>2575</v>
      </c>
      <c r="C963">
        <v>-2000</v>
      </c>
      <c r="D963">
        <v>18</v>
      </c>
      <c r="E963" t="s">
        <v>249</v>
      </c>
      <c r="F963" t="s">
        <v>1023</v>
      </c>
      <c r="G963">
        <v>7.6</v>
      </c>
      <c r="H963">
        <v>64</v>
      </c>
      <c r="I963" t="s">
        <v>2576</v>
      </c>
      <c r="J963" s="3">
        <v>578633</v>
      </c>
      <c r="K963" t="s">
        <v>2577</v>
      </c>
      <c r="M963" s="3" t="str">
        <f>IF(I963="Billy Wilder", "Must Watch", IF(I963="John Ford", "Watch", "Maybe"))</f>
        <v>Maybe</v>
      </c>
    </row>
    <row r="964" spans="1:13" x14ac:dyDescent="0.25">
      <c r="A964">
        <v>963</v>
      </c>
      <c r="B964" t="s">
        <v>2578</v>
      </c>
      <c r="C964">
        <v>-1998</v>
      </c>
      <c r="D964">
        <v>15</v>
      </c>
      <c r="E964" t="s">
        <v>823</v>
      </c>
      <c r="F964" t="s">
        <v>132</v>
      </c>
      <c r="G964">
        <v>7.6</v>
      </c>
      <c r="H964">
        <v>86</v>
      </c>
      <c r="I964" t="s">
        <v>774</v>
      </c>
      <c r="J964" s="3">
        <v>183903</v>
      </c>
      <c r="K964" t="s">
        <v>2194</v>
      </c>
      <c r="M964" s="3" t="str">
        <f>IF(I964="Billy Wilder", "Must Watch", IF(I964="John Ford", "Watch", "Maybe"))</f>
        <v>Maybe</v>
      </c>
    </row>
    <row r="965" spans="1:13" x14ac:dyDescent="0.25">
      <c r="A965">
        <v>964</v>
      </c>
      <c r="B965" t="s">
        <v>2579</v>
      </c>
      <c r="C965">
        <v>-2005</v>
      </c>
      <c r="D965" t="s">
        <v>30</v>
      </c>
      <c r="E965" t="s">
        <v>561</v>
      </c>
      <c r="F965" t="s">
        <v>100</v>
      </c>
      <c r="G965">
        <v>7.6</v>
      </c>
      <c r="H965">
        <v>68</v>
      </c>
      <c r="I965" t="s">
        <v>149</v>
      </c>
      <c r="J965" s="3">
        <v>772879</v>
      </c>
      <c r="K965" t="s">
        <v>2580</v>
      </c>
      <c r="M965" s="3" t="str">
        <f>IF(I965="Billy Wilder", "Must Watch", IF(I965="John Ford", "Watch", "Maybe"))</f>
        <v>Maybe</v>
      </c>
    </row>
    <row r="966" spans="1:13" x14ac:dyDescent="0.25">
      <c r="A966">
        <v>965</v>
      </c>
      <c r="B966" t="s">
        <v>2581</v>
      </c>
      <c r="C966">
        <v>-1998</v>
      </c>
      <c r="D966">
        <v>15</v>
      </c>
      <c r="E966" t="s">
        <v>303</v>
      </c>
      <c r="F966" t="s">
        <v>1602</v>
      </c>
      <c r="G966">
        <v>7.6</v>
      </c>
      <c r="H966">
        <v>78</v>
      </c>
      <c r="I966" t="s">
        <v>1977</v>
      </c>
      <c r="J966" s="3">
        <v>186086</v>
      </c>
      <c r="K966" t="s">
        <v>2582</v>
      </c>
      <c r="M966" s="3" t="str">
        <f>IF(I966="Billy Wilder", "Must Watch", IF(I966="John Ford", "Watch", "Maybe"))</f>
        <v>Maybe</v>
      </c>
    </row>
    <row r="967" spans="1:13" x14ac:dyDescent="0.25">
      <c r="A967">
        <v>966</v>
      </c>
      <c r="B967" t="s">
        <v>2583</v>
      </c>
      <c r="C967">
        <v>-1998</v>
      </c>
      <c r="D967" t="s">
        <v>74</v>
      </c>
      <c r="E967" t="s">
        <v>213</v>
      </c>
      <c r="F967" t="s">
        <v>292</v>
      </c>
      <c r="G967">
        <v>7.6</v>
      </c>
      <c r="H967">
        <v>71</v>
      </c>
      <c r="I967" t="s">
        <v>2584</v>
      </c>
      <c r="J967" s="3">
        <v>281589</v>
      </c>
      <c r="K967" t="s">
        <v>2585</v>
      </c>
      <c r="M967" s="3" t="str">
        <f>IF(I967="Billy Wilder", "Must Watch", IF(I967="John Ford", "Watch", "Maybe"))</f>
        <v>Maybe</v>
      </c>
    </row>
    <row r="968" spans="1:13" x14ac:dyDescent="0.25">
      <c r="A968">
        <v>967</v>
      </c>
      <c r="B968" t="s">
        <v>2586</v>
      </c>
      <c r="C968">
        <v>-1997</v>
      </c>
      <c r="D968" t="s">
        <v>74</v>
      </c>
      <c r="E968" t="s">
        <v>263</v>
      </c>
      <c r="F968" t="s">
        <v>64</v>
      </c>
      <c r="G968">
        <v>7.6</v>
      </c>
      <c r="H968">
        <v>52</v>
      </c>
      <c r="I968" t="s">
        <v>210</v>
      </c>
      <c r="J968" s="3">
        <v>466847</v>
      </c>
      <c r="K968" t="s">
        <v>2587</v>
      </c>
      <c r="M968" s="3" t="str">
        <f>IF(I968="Billy Wilder", "Must Watch", IF(I968="John Ford", "Watch", "Maybe"))</f>
        <v>Maybe</v>
      </c>
    </row>
    <row r="969" spans="1:13" x14ac:dyDescent="0.25">
      <c r="A969">
        <v>968</v>
      </c>
      <c r="B969" t="s">
        <v>2588</v>
      </c>
      <c r="C969">
        <v>-1998</v>
      </c>
      <c r="D969">
        <v>15</v>
      </c>
      <c r="E969" t="s">
        <v>851</v>
      </c>
      <c r="F969" t="s">
        <v>1287</v>
      </c>
      <c r="G969">
        <v>7.6</v>
      </c>
      <c r="H969">
        <v>73</v>
      </c>
      <c r="I969" t="s">
        <v>2589</v>
      </c>
      <c r="J969" s="3">
        <v>41335</v>
      </c>
      <c r="K969" t="s">
        <v>2590</v>
      </c>
      <c r="M969" s="3" t="str">
        <f>IF(I969="Billy Wilder", "Must Watch", IF(I969="John Ford", "Watch", "Maybe"))</f>
        <v>Maybe</v>
      </c>
    </row>
    <row r="970" spans="1:13" x14ac:dyDescent="0.25">
      <c r="A970">
        <v>969</v>
      </c>
      <c r="B970" t="s">
        <v>2591</v>
      </c>
      <c r="C970">
        <v>-1998</v>
      </c>
      <c r="D970">
        <v>15</v>
      </c>
      <c r="E970" t="s">
        <v>613</v>
      </c>
      <c r="F970" t="s">
        <v>2592</v>
      </c>
      <c r="G970">
        <v>7.6</v>
      </c>
      <c r="H970">
        <v>66</v>
      </c>
      <c r="I970" t="s">
        <v>2593</v>
      </c>
      <c r="J970" s="3">
        <v>198706</v>
      </c>
      <c r="K970" t="s">
        <v>2594</v>
      </c>
      <c r="M970" s="3" t="str">
        <f>IF(I970="Billy Wilder", "Must Watch", IF(I970="John Ford", "Watch", "Maybe"))</f>
        <v>Maybe</v>
      </c>
    </row>
    <row r="971" spans="1:13" x14ac:dyDescent="0.25">
      <c r="A971">
        <v>970</v>
      </c>
      <c r="B971" t="s">
        <v>2595</v>
      </c>
      <c r="C971">
        <v>-1995</v>
      </c>
      <c r="D971">
        <v>15</v>
      </c>
      <c r="E971" t="s">
        <v>477</v>
      </c>
      <c r="F971" t="s">
        <v>1171</v>
      </c>
      <c r="G971">
        <v>7.6</v>
      </c>
      <c r="H971">
        <v>58</v>
      </c>
      <c r="I971" t="s">
        <v>641</v>
      </c>
      <c r="J971" s="3">
        <v>383647</v>
      </c>
      <c r="K971" t="s">
        <v>2596</v>
      </c>
      <c r="M971" s="3" t="str">
        <f>IF(I971="Billy Wilder", "Must Watch", IF(I971="John Ford", "Watch", "Maybe"))</f>
        <v>Maybe</v>
      </c>
    </row>
    <row r="972" spans="1:13" x14ac:dyDescent="0.25">
      <c r="A972">
        <v>971</v>
      </c>
      <c r="B972" t="s">
        <v>2597</v>
      </c>
      <c r="C972">
        <v>-1995</v>
      </c>
      <c r="D972">
        <v>12</v>
      </c>
      <c r="E972" t="s">
        <v>309</v>
      </c>
      <c r="F972" t="s">
        <v>78</v>
      </c>
      <c r="G972">
        <v>7.6</v>
      </c>
      <c r="H972">
        <v>69</v>
      </c>
      <c r="I972" t="s">
        <v>635</v>
      </c>
      <c r="J972" s="3">
        <v>80487</v>
      </c>
      <c r="K972" t="s">
        <v>2598</v>
      </c>
      <c r="M972" s="3" t="str">
        <f>IF(I972="Billy Wilder", "Must Watch", IF(I972="John Ford", "Watch", "Maybe"))</f>
        <v>Maybe</v>
      </c>
    </row>
    <row r="973" spans="1:13" x14ac:dyDescent="0.25">
      <c r="A973">
        <v>972</v>
      </c>
      <c r="B973" t="s">
        <v>2599</v>
      </c>
      <c r="C973">
        <v>-1994</v>
      </c>
      <c r="D973">
        <v>15</v>
      </c>
      <c r="E973" t="s">
        <v>827</v>
      </c>
      <c r="F973" t="s">
        <v>132</v>
      </c>
      <c r="G973">
        <v>7.6</v>
      </c>
      <c r="H973">
        <v>88</v>
      </c>
      <c r="I973" t="s">
        <v>911</v>
      </c>
      <c r="J973" s="3">
        <v>72627</v>
      </c>
      <c r="K973" t="s">
        <v>2600</v>
      </c>
      <c r="M973" s="3" t="str">
        <f>IF(I973="Billy Wilder", "Must Watch", IF(I973="John Ford", "Watch", "Maybe"))</f>
        <v>Maybe</v>
      </c>
    </row>
    <row r="974" spans="1:13" x14ac:dyDescent="0.25">
      <c r="A974">
        <v>973</v>
      </c>
      <c r="B974" t="s">
        <v>2601</v>
      </c>
      <c r="C974">
        <v>-1993</v>
      </c>
      <c r="D974">
        <v>18</v>
      </c>
      <c r="E974" t="s">
        <v>325</v>
      </c>
      <c r="F974" t="s">
        <v>32</v>
      </c>
      <c r="G974">
        <v>7.6</v>
      </c>
      <c r="H974">
        <v>56</v>
      </c>
      <c r="I974" t="s">
        <v>2602</v>
      </c>
      <c r="J974" s="3">
        <v>187498</v>
      </c>
      <c r="K974" t="s">
        <v>2603</v>
      </c>
      <c r="M974" s="3" t="str">
        <f>IF(I974="Billy Wilder", "Must Watch", IF(I974="John Ford", "Watch", "Maybe"))</f>
        <v>Maybe</v>
      </c>
    </row>
    <row r="975" spans="1:13" x14ac:dyDescent="0.25">
      <c r="A975">
        <v>974</v>
      </c>
      <c r="B975" t="s">
        <v>2604</v>
      </c>
      <c r="C975">
        <v>-1992</v>
      </c>
      <c r="D975">
        <v>15</v>
      </c>
      <c r="E975" t="s">
        <v>811</v>
      </c>
      <c r="F975" t="s">
        <v>419</v>
      </c>
      <c r="G975">
        <v>7.6</v>
      </c>
      <c r="H975">
        <v>68</v>
      </c>
      <c r="I975" t="s">
        <v>2605</v>
      </c>
      <c r="J975" s="3">
        <v>122538</v>
      </c>
      <c r="K975" t="s">
        <v>2606</v>
      </c>
      <c r="M975" s="3" t="str">
        <f>IF(I975="Billy Wilder", "Must Watch", IF(I975="John Ford", "Watch", "Maybe"))</f>
        <v>Maybe</v>
      </c>
    </row>
    <row r="976" spans="1:13" x14ac:dyDescent="0.25">
      <c r="A976">
        <v>975</v>
      </c>
      <c r="B976" t="s">
        <v>2607</v>
      </c>
      <c r="C976">
        <v>-1991</v>
      </c>
      <c r="D976">
        <v>15</v>
      </c>
      <c r="E976" t="s">
        <v>131</v>
      </c>
      <c r="F976" t="s">
        <v>167</v>
      </c>
      <c r="G976">
        <v>7.6</v>
      </c>
      <c r="H976">
        <v>69</v>
      </c>
      <c r="I976" t="s">
        <v>893</v>
      </c>
      <c r="J976" s="3">
        <v>120493</v>
      </c>
      <c r="K976" t="s">
        <v>2608</v>
      </c>
      <c r="M976" s="3" t="str">
        <f>IF(I976="Billy Wilder", "Must Watch", IF(I976="John Ford", "Watch", "Maybe"))</f>
        <v>Maybe</v>
      </c>
    </row>
    <row r="977" spans="1:13" x14ac:dyDescent="0.25">
      <c r="A977">
        <v>976</v>
      </c>
      <c r="B977" t="s">
        <v>2609</v>
      </c>
      <c r="C977">
        <v>-1990</v>
      </c>
      <c r="D977">
        <v>15</v>
      </c>
      <c r="E977" t="s">
        <v>644</v>
      </c>
      <c r="F977" t="s">
        <v>26</v>
      </c>
      <c r="G977">
        <v>7.6</v>
      </c>
      <c r="H977">
        <v>60</v>
      </c>
      <c r="I977" t="s">
        <v>27</v>
      </c>
      <c r="J977" s="3">
        <v>389790</v>
      </c>
      <c r="K977" t="s">
        <v>2610</v>
      </c>
      <c r="M977" s="3" t="str">
        <f>IF(I977="Billy Wilder", "Must Watch", IF(I977="John Ford", "Watch", "Maybe"))</f>
        <v>Maybe</v>
      </c>
    </row>
    <row r="978" spans="1:13" x14ac:dyDescent="0.25">
      <c r="A978">
        <v>977</v>
      </c>
      <c r="B978" t="s">
        <v>2611</v>
      </c>
      <c r="C978">
        <v>-1989</v>
      </c>
      <c r="D978" t="s">
        <v>49</v>
      </c>
      <c r="E978" t="s">
        <v>1555</v>
      </c>
      <c r="F978" t="s">
        <v>292</v>
      </c>
      <c r="G978">
        <v>7.6</v>
      </c>
      <c r="H978">
        <v>88</v>
      </c>
      <c r="I978" t="s">
        <v>1245</v>
      </c>
      <c r="J978" s="3">
        <v>257483</v>
      </c>
      <c r="K978" t="s">
        <v>2612</v>
      </c>
      <c r="M978" s="3" t="str">
        <f>IF(I978="Billy Wilder", "Must Watch", IF(I978="John Ford", "Watch", "Maybe"))</f>
        <v>Maybe</v>
      </c>
    </row>
    <row r="979" spans="1:13" x14ac:dyDescent="0.25">
      <c r="A979">
        <v>978</v>
      </c>
      <c r="B979" t="s">
        <v>2613</v>
      </c>
      <c r="C979">
        <v>-1988</v>
      </c>
      <c r="D979">
        <v>15</v>
      </c>
      <c r="E979" t="s">
        <v>991</v>
      </c>
      <c r="F979" t="s">
        <v>419</v>
      </c>
      <c r="G979">
        <v>7.6</v>
      </c>
      <c r="H979">
        <v>76</v>
      </c>
      <c r="I979" t="s">
        <v>2614</v>
      </c>
      <c r="J979" s="3">
        <v>166825</v>
      </c>
      <c r="K979" t="s">
        <v>2615</v>
      </c>
      <c r="M979" s="3" t="str">
        <f>IF(I979="Billy Wilder", "Must Watch", IF(I979="John Ford", "Watch", "Maybe"))</f>
        <v>Maybe</v>
      </c>
    </row>
    <row r="980" spans="1:13" x14ac:dyDescent="0.25">
      <c r="A980">
        <v>979</v>
      </c>
      <c r="B980" t="s">
        <v>2616</v>
      </c>
      <c r="C980">
        <v>-1987</v>
      </c>
      <c r="D980">
        <v>18</v>
      </c>
      <c r="E980" t="s">
        <v>249</v>
      </c>
      <c r="F980" t="s">
        <v>2617</v>
      </c>
      <c r="G980">
        <v>7.6</v>
      </c>
      <c r="H980">
        <v>70</v>
      </c>
      <c r="I980" t="s">
        <v>2186</v>
      </c>
      <c r="J980" s="3">
        <v>254126</v>
      </c>
      <c r="K980" t="s">
        <v>2618</v>
      </c>
      <c r="M980" s="3" t="str">
        <f>IF(I980="Billy Wilder", "Must Watch", IF(I980="John Ford", "Watch", "Maybe"))</f>
        <v>Maybe</v>
      </c>
    </row>
    <row r="981" spans="1:13" x14ac:dyDescent="0.25">
      <c r="A981">
        <v>980</v>
      </c>
      <c r="B981" t="s">
        <v>2619</v>
      </c>
      <c r="C981">
        <v>-1987</v>
      </c>
      <c r="D981">
        <v>18</v>
      </c>
      <c r="E981" t="s">
        <v>241</v>
      </c>
      <c r="F981" t="s">
        <v>1175</v>
      </c>
      <c r="G981">
        <v>7.6</v>
      </c>
      <c r="H981">
        <v>68</v>
      </c>
      <c r="I981" t="s">
        <v>2364</v>
      </c>
      <c r="J981" s="3">
        <v>255410</v>
      </c>
      <c r="K981" t="s">
        <v>2620</v>
      </c>
      <c r="M981" s="3" t="str">
        <f>IF(I981="Billy Wilder", "Must Watch", IF(I981="John Ford", "Watch", "Maybe"))</f>
        <v>Maybe</v>
      </c>
    </row>
    <row r="982" spans="1:13" x14ac:dyDescent="0.25">
      <c r="A982">
        <v>981</v>
      </c>
      <c r="B982" t="s">
        <v>2621</v>
      </c>
      <c r="C982">
        <v>-1986</v>
      </c>
      <c r="D982">
        <v>18</v>
      </c>
      <c r="E982" t="s">
        <v>50</v>
      </c>
      <c r="F982" t="s">
        <v>2039</v>
      </c>
      <c r="G982">
        <v>7.6</v>
      </c>
      <c r="H982">
        <v>79</v>
      </c>
      <c r="I982" t="s">
        <v>2528</v>
      </c>
      <c r="J982" s="3">
        <v>178058</v>
      </c>
      <c r="K982" t="s">
        <v>2622</v>
      </c>
      <c r="M982" s="3" t="str">
        <f>IF(I982="Billy Wilder", "Must Watch", IF(I982="John Ford", "Watch", "Maybe"))</f>
        <v>Maybe</v>
      </c>
    </row>
    <row r="983" spans="1:13" x14ac:dyDescent="0.25">
      <c r="A983">
        <v>982</v>
      </c>
      <c r="B983" t="s">
        <v>2623</v>
      </c>
      <c r="C983" t="s">
        <v>2624</v>
      </c>
      <c r="D983">
        <v>15</v>
      </c>
      <c r="E983" t="s">
        <v>576</v>
      </c>
      <c r="F983" t="s">
        <v>453</v>
      </c>
      <c r="G983">
        <v>7.6</v>
      </c>
      <c r="H983">
        <v>90</v>
      </c>
      <c r="I983" t="s">
        <v>96</v>
      </c>
      <c r="J983" s="3">
        <v>68381</v>
      </c>
      <c r="K983" t="s">
        <v>2625</v>
      </c>
      <c r="M983" s="3" t="str">
        <f>IF(I983="Billy Wilder", "Must Watch", IF(I983="John Ford", "Watch", "Maybe"))</f>
        <v>Maybe</v>
      </c>
    </row>
    <row r="984" spans="1:13" x14ac:dyDescent="0.25">
      <c r="A984">
        <v>983</v>
      </c>
      <c r="B984" t="s">
        <v>2626</v>
      </c>
      <c r="C984">
        <v>-1981</v>
      </c>
      <c r="D984" t="s">
        <v>24</v>
      </c>
      <c r="E984" t="s">
        <v>50</v>
      </c>
      <c r="F984" t="s">
        <v>64</v>
      </c>
      <c r="G984">
        <v>7.6</v>
      </c>
      <c r="H984">
        <v>77</v>
      </c>
      <c r="I984" t="s">
        <v>812</v>
      </c>
      <c r="J984" s="3">
        <v>178544</v>
      </c>
      <c r="K984" t="s">
        <v>2627</v>
      </c>
      <c r="M984" s="3" t="str">
        <f>IF(I984="Billy Wilder", "Must Watch", IF(I984="John Ford", "Watch", "Maybe"))</f>
        <v>Maybe</v>
      </c>
    </row>
    <row r="985" spans="1:13" x14ac:dyDescent="0.25">
      <c r="A985">
        <v>984</v>
      </c>
      <c r="B985" t="s">
        <v>2628</v>
      </c>
      <c r="C985">
        <v>-1977</v>
      </c>
      <c r="D985" t="s">
        <v>155</v>
      </c>
      <c r="E985" t="s">
        <v>515</v>
      </c>
      <c r="F985" t="s">
        <v>504</v>
      </c>
      <c r="G985">
        <v>7.6</v>
      </c>
      <c r="H985">
        <v>90</v>
      </c>
      <c r="I985" t="s">
        <v>43</v>
      </c>
      <c r="J985" s="3">
        <v>199164</v>
      </c>
      <c r="K985" t="s">
        <v>2137</v>
      </c>
      <c r="M985" s="3" t="str">
        <f>IF(I985="Billy Wilder", "Must Watch", IF(I985="John Ford", "Watch", "Maybe"))</f>
        <v>Maybe</v>
      </c>
    </row>
    <row r="986" spans="1:13" x14ac:dyDescent="0.25">
      <c r="A986">
        <v>985</v>
      </c>
      <c r="B986" t="s">
        <v>2629</v>
      </c>
      <c r="C986">
        <v>-1974</v>
      </c>
      <c r="D986" t="s">
        <v>236</v>
      </c>
      <c r="E986" t="s">
        <v>418</v>
      </c>
      <c r="F986" t="s">
        <v>1175</v>
      </c>
      <c r="G986">
        <v>7.6</v>
      </c>
      <c r="H986">
        <v>68</v>
      </c>
      <c r="I986" t="s">
        <v>2630</v>
      </c>
      <c r="J986" s="3">
        <v>30438</v>
      </c>
      <c r="K986" t="s">
        <v>2631</v>
      </c>
      <c r="M986" s="3" t="str">
        <f>IF(I986="Billy Wilder", "Must Watch", IF(I986="John Ford", "Watch", "Maybe"))</f>
        <v>Maybe</v>
      </c>
    </row>
    <row r="987" spans="1:13" x14ac:dyDescent="0.25">
      <c r="A987">
        <v>986</v>
      </c>
      <c r="B987" t="s">
        <v>2632</v>
      </c>
      <c r="C987">
        <v>-1973</v>
      </c>
      <c r="D987" t="s">
        <v>24</v>
      </c>
      <c r="E987" t="s">
        <v>249</v>
      </c>
      <c r="F987" t="s">
        <v>32</v>
      </c>
      <c r="G987">
        <v>7.6</v>
      </c>
      <c r="H987">
        <v>83</v>
      </c>
      <c r="I987" t="s">
        <v>2633</v>
      </c>
      <c r="J987" s="3">
        <v>103686</v>
      </c>
      <c r="K987" t="s">
        <v>679</v>
      </c>
      <c r="M987" s="3" t="str">
        <f>IF(I987="Billy Wilder", "Must Watch", IF(I987="John Ford", "Watch", "Maybe"))</f>
        <v>Maybe</v>
      </c>
    </row>
    <row r="988" spans="1:13" x14ac:dyDescent="0.25">
      <c r="A988">
        <v>987</v>
      </c>
      <c r="B988" t="s">
        <v>2634</v>
      </c>
      <c r="C988">
        <v>-1968</v>
      </c>
      <c r="D988" t="s">
        <v>74</v>
      </c>
      <c r="E988" t="s">
        <v>272</v>
      </c>
      <c r="F988" t="s">
        <v>2414</v>
      </c>
      <c r="G988">
        <v>7.6</v>
      </c>
      <c r="H988">
        <v>63</v>
      </c>
      <c r="I988" t="s">
        <v>2635</v>
      </c>
      <c r="J988" s="3">
        <v>57763</v>
      </c>
      <c r="M988" s="3" t="str">
        <f>IF(I988="Billy Wilder", "Must Watch", IF(I988="John Ford", "Watch", "Maybe"))</f>
        <v>Maybe</v>
      </c>
    </row>
    <row r="989" spans="1:13" x14ac:dyDescent="0.25">
      <c r="A989">
        <v>988</v>
      </c>
      <c r="B989" t="s">
        <v>2636</v>
      </c>
      <c r="C989">
        <v>-1968</v>
      </c>
      <c r="D989" t="s">
        <v>155</v>
      </c>
      <c r="E989" t="s">
        <v>291</v>
      </c>
      <c r="F989" t="s">
        <v>1287</v>
      </c>
      <c r="G989">
        <v>7.6</v>
      </c>
      <c r="H989">
        <v>86</v>
      </c>
      <c r="I989" t="s">
        <v>2637</v>
      </c>
      <c r="J989" s="3">
        <v>34752</v>
      </c>
      <c r="K989" t="s">
        <v>2638</v>
      </c>
      <c r="M989" s="3" t="str">
        <f>IF(I989="Billy Wilder", "Must Watch", IF(I989="John Ford", "Watch", "Maybe"))</f>
        <v>Maybe</v>
      </c>
    </row>
    <row r="990" spans="1:13" x14ac:dyDescent="0.25">
      <c r="A990">
        <v>989</v>
      </c>
      <c r="B990" t="s">
        <v>2639</v>
      </c>
      <c r="C990">
        <v>-1967</v>
      </c>
      <c r="D990" t="s">
        <v>49</v>
      </c>
      <c r="E990" t="s">
        <v>2640</v>
      </c>
      <c r="F990" t="s">
        <v>292</v>
      </c>
      <c r="G990">
        <v>7.6</v>
      </c>
      <c r="H990">
        <v>65</v>
      </c>
      <c r="I990" t="s">
        <v>2641</v>
      </c>
      <c r="J990" s="3">
        <v>179851</v>
      </c>
      <c r="K990" t="s">
        <v>2642</v>
      </c>
      <c r="M990" s="3" t="str">
        <f>IF(I990="Billy Wilder", "Must Watch", IF(I990="John Ford", "Watch", "Maybe"))</f>
        <v>Maybe</v>
      </c>
    </row>
    <row r="991" spans="1:13" x14ac:dyDescent="0.25">
      <c r="A991">
        <v>990</v>
      </c>
      <c r="B991" t="s">
        <v>2643</v>
      </c>
      <c r="C991">
        <v>-1965</v>
      </c>
      <c r="D991" t="s">
        <v>24</v>
      </c>
      <c r="E991" t="s">
        <v>291</v>
      </c>
      <c r="F991" t="s">
        <v>1337</v>
      </c>
      <c r="G991">
        <v>7.6</v>
      </c>
      <c r="H991">
        <v>91</v>
      </c>
      <c r="I991" t="s">
        <v>195</v>
      </c>
      <c r="J991" s="3">
        <v>52846</v>
      </c>
      <c r="M991" s="3" t="str">
        <f>IF(I991="Billy Wilder", "Must Watch", IF(I991="John Ford", "Watch", "Maybe"))</f>
        <v>Maybe</v>
      </c>
    </row>
    <row r="992" spans="1:13" x14ac:dyDescent="0.25">
      <c r="A992">
        <v>991</v>
      </c>
      <c r="B992" t="s">
        <v>2644</v>
      </c>
      <c r="C992">
        <v>-1963</v>
      </c>
      <c r="D992" t="s">
        <v>24</v>
      </c>
      <c r="E992" t="s">
        <v>202</v>
      </c>
      <c r="F992" t="s">
        <v>2645</v>
      </c>
      <c r="G992">
        <v>7.6</v>
      </c>
      <c r="H992">
        <v>90</v>
      </c>
      <c r="I992" t="s">
        <v>243</v>
      </c>
      <c r="J992" s="3">
        <v>186123</v>
      </c>
      <c r="K992" t="s">
        <v>2646</v>
      </c>
      <c r="M992" s="3" t="str">
        <f>IF(I992="Billy Wilder", "Must Watch", IF(I992="John Ford", "Watch", "Maybe"))</f>
        <v>Maybe</v>
      </c>
    </row>
    <row r="993" spans="1:13" x14ac:dyDescent="0.25">
      <c r="A993">
        <v>992</v>
      </c>
      <c r="B993" t="s">
        <v>2647</v>
      </c>
      <c r="C993">
        <v>-1961</v>
      </c>
      <c r="D993" t="s">
        <v>74</v>
      </c>
      <c r="E993" t="s">
        <v>342</v>
      </c>
      <c r="F993" t="s">
        <v>132</v>
      </c>
      <c r="G993">
        <v>7.6</v>
      </c>
      <c r="H993">
        <v>76</v>
      </c>
      <c r="I993" t="s">
        <v>2648</v>
      </c>
      <c r="J993" s="3">
        <v>178134</v>
      </c>
      <c r="M993" s="3" t="str">
        <f>IF(I993="Billy Wilder", "Must Watch", IF(I993="John Ford", "Watch", "Maybe"))</f>
        <v>Maybe</v>
      </c>
    </row>
    <row r="994" spans="1:13" x14ac:dyDescent="0.25">
      <c r="A994">
        <v>993</v>
      </c>
      <c r="B994" t="s">
        <v>2649</v>
      </c>
      <c r="C994">
        <v>-1960</v>
      </c>
      <c r="D994" t="s">
        <v>24</v>
      </c>
      <c r="E994" t="s">
        <v>321</v>
      </c>
      <c r="F994" t="s">
        <v>1337</v>
      </c>
      <c r="G994">
        <v>7.6</v>
      </c>
      <c r="I994" t="s">
        <v>1034</v>
      </c>
      <c r="J994" s="3">
        <v>35011</v>
      </c>
      <c r="K994" t="s">
        <v>667</v>
      </c>
      <c r="M994" s="3" t="str">
        <f>IF(I994="Billy Wilder", "Must Watch", IF(I994="John Ford", "Watch", "Maybe"))</f>
        <v>Maybe</v>
      </c>
    </row>
    <row r="995" spans="1:13" x14ac:dyDescent="0.25">
      <c r="A995">
        <v>994</v>
      </c>
      <c r="B995" t="s">
        <v>2650</v>
      </c>
      <c r="C995">
        <v>-1960</v>
      </c>
      <c r="D995">
        <v>15</v>
      </c>
      <c r="E995" t="s">
        <v>1244</v>
      </c>
      <c r="F995" t="s">
        <v>350</v>
      </c>
      <c r="G995">
        <v>7.6</v>
      </c>
      <c r="H995">
        <v>90</v>
      </c>
      <c r="I995" t="s">
        <v>2651</v>
      </c>
      <c r="J995" s="3">
        <v>31294</v>
      </c>
      <c r="K995" t="s">
        <v>1333</v>
      </c>
      <c r="M995" s="3" t="str">
        <f>IF(I995="Billy Wilder", "Must Watch", IF(I995="John Ford", "Watch", "Maybe"))</f>
        <v>Maybe</v>
      </c>
    </row>
    <row r="996" spans="1:13" x14ac:dyDescent="0.25">
      <c r="A996">
        <v>995</v>
      </c>
      <c r="B996" t="s">
        <v>2652</v>
      </c>
      <c r="C996">
        <v>-1955</v>
      </c>
      <c r="D996" t="s">
        <v>74</v>
      </c>
      <c r="E996" t="s">
        <v>610</v>
      </c>
      <c r="F996" t="s">
        <v>20</v>
      </c>
      <c r="G996">
        <v>7.6</v>
      </c>
      <c r="H996">
        <v>89</v>
      </c>
      <c r="I996" t="s">
        <v>1664</v>
      </c>
      <c r="J996" s="3">
        <v>89947</v>
      </c>
      <c r="M996" s="3" t="str">
        <f>IF(I996="Billy Wilder", "Must Watch", IF(I996="John Ford", "Watch", "Maybe"))</f>
        <v>Maybe</v>
      </c>
    </row>
    <row r="997" spans="1:13" x14ac:dyDescent="0.25">
      <c r="A997">
        <v>996</v>
      </c>
      <c r="B997" t="s">
        <v>2653</v>
      </c>
      <c r="C997">
        <v>-1954</v>
      </c>
      <c r="D997" t="s">
        <v>49</v>
      </c>
      <c r="E997" t="s">
        <v>325</v>
      </c>
      <c r="F997" t="s">
        <v>132</v>
      </c>
      <c r="G997">
        <v>7.6</v>
      </c>
      <c r="H997">
        <v>72</v>
      </c>
      <c r="I997" t="s">
        <v>360</v>
      </c>
      <c r="J997" s="3">
        <v>64498</v>
      </c>
      <c r="M997" s="3" t="str">
        <f>IF(I997="Billy Wilder", "Must Watch", IF(I997="John Ford", "Watch", "Maybe"))</f>
        <v>Must Watch</v>
      </c>
    </row>
    <row r="998" spans="1:13" x14ac:dyDescent="0.25">
      <c r="A998">
        <v>997</v>
      </c>
      <c r="B998" t="s">
        <v>2654</v>
      </c>
      <c r="C998">
        <v>-1953</v>
      </c>
      <c r="D998" t="s">
        <v>74</v>
      </c>
      <c r="E998" t="s">
        <v>143</v>
      </c>
      <c r="F998" t="s">
        <v>250</v>
      </c>
      <c r="G998">
        <v>7.6</v>
      </c>
      <c r="H998">
        <v>85</v>
      </c>
      <c r="I998" t="s">
        <v>1366</v>
      </c>
      <c r="J998" s="3">
        <v>46804</v>
      </c>
      <c r="K998" t="s">
        <v>2655</v>
      </c>
      <c r="M998" s="3" t="str">
        <f>IF(I998="Billy Wilder", "Must Watch", IF(I998="John Ford", "Watch", "Maybe"))</f>
        <v>Maybe</v>
      </c>
    </row>
    <row r="999" spans="1:13" x14ac:dyDescent="0.25">
      <c r="A999">
        <v>998</v>
      </c>
      <c r="B999" t="s">
        <v>2656</v>
      </c>
      <c r="C999">
        <v>-1937</v>
      </c>
      <c r="D999" t="s">
        <v>155</v>
      </c>
      <c r="E999" t="s">
        <v>1555</v>
      </c>
      <c r="F999" t="s">
        <v>120</v>
      </c>
      <c r="G999">
        <v>7.6</v>
      </c>
      <c r="H999">
        <v>95</v>
      </c>
      <c r="I999" t="s">
        <v>2657</v>
      </c>
      <c r="J999" s="3">
        <v>196361</v>
      </c>
      <c r="K999" t="s">
        <v>2658</v>
      </c>
      <c r="M999" s="3" t="str">
        <f>IF(I999="Billy Wilder", "Must Watch", IF(I999="John Ford", "Watch", "Maybe"))</f>
        <v>Maybe</v>
      </c>
    </row>
    <row r="1000" spans="1:13" x14ac:dyDescent="0.25">
      <c r="A1000">
        <v>999</v>
      </c>
      <c r="B1000" t="s">
        <v>2659</v>
      </c>
      <c r="C1000">
        <v>-1935</v>
      </c>
      <c r="D1000" t="s">
        <v>155</v>
      </c>
      <c r="E1000" t="s">
        <v>890</v>
      </c>
      <c r="F1000" t="s">
        <v>500</v>
      </c>
      <c r="G1000">
        <v>7.6</v>
      </c>
      <c r="H1000">
        <v>93</v>
      </c>
      <c r="I1000" t="s">
        <v>243</v>
      </c>
      <c r="J1000" s="3">
        <v>56586</v>
      </c>
      <c r="M1000" s="3" t="str">
        <f>IF(I1000="Billy Wilder", "Must Watch", IF(I1000="John Ford", "Watch", "Maybe"))</f>
        <v>Maybe</v>
      </c>
    </row>
    <row r="1001" spans="1:13" x14ac:dyDescent="0.25">
      <c r="A1001" s="4">
        <v>1000</v>
      </c>
      <c r="B1001" t="s">
        <v>2660</v>
      </c>
      <c r="C1001">
        <v>-1933</v>
      </c>
      <c r="D1001" t="s">
        <v>155</v>
      </c>
      <c r="E1001" t="s">
        <v>2661</v>
      </c>
      <c r="F1001" t="s">
        <v>233</v>
      </c>
      <c r="G1001">
        <v>7.6</v>
      </c>
      <c r="H1001">
        <v>87</v>
      </c>
      <c r="I1001" t="s">
        <v>2040</v>
      </c>
      <c r="J1001" s="3">
        <v>34632</v>
      </c>
      <c r="M1001" s="3" t="str">
        <f>IF(I1001="Billy Wilder", "Must Watch", IF(I1001="John Ford", "Watch", "Maybe"))</f>
        <v>Maybe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Monthly Stock Price</vt:lpstr>
      <vt:lpstr>Pasted Movie Data</vt:lpstr>
      <vt:lpstr>Bonus</vt:lpstr>
      <vt:lpstr>Assignment1</vt:lpstr>
      <vt:lpstr>Assignment2</vt:lpstr>
      <vt:lpstr>Assignment3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Moses Mugambi</cp:lastModifiedBy>
  <dcterms:created xsi:type="dcterms:W3CDTF">2015-06-05T18:17:20Z</dcterms:created>
  <dcterms:modified xsi:type="dcterms:W3CDTF">2025-03-05T06:56:25Z</dcterms:modified>
</cp:coreProperties>
</file>